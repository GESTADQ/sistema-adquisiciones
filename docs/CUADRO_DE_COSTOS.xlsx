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WAldUOXdro-tppmaZm6_a4lTZEqKTDCm\PROYECTO TAPE\01 DOCUMENTOS EN PROCESO\02- ADQUISICIONES\"/>
    </mc:Choice>
  </mc:AlternateContent>
  <xr:revisionPtr revIDLastSave="0" documentId="13_ncr:1_{207D3341-2E82-46EC-9063-507586ADC177}" xr6:coauthVersionLast="47" xr6:coauthVersionMax="47" xr10:uidLastSave="{00000000-0000-0000-0000-000000000000}"/>
  <bookViews>
    <workbookView xWindow="-120" yWindow="-120" windowWidth="20730" windowHeight="11040" xr2:uid="{E429887D-28EE-4028-A602-42341B2DBA9C}"/>
  </bookViews>
  <sheets>
    <sheet name="BM NUEVO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______XX1" localSheetId="0">#REF!</definedName>
    <definedName name="_______XX1">#REF!</definedName>
    <definedName name="______XX1" localSheetId="0">#REF!</definedName>
    <definedName name="______XX1">#REF!</definedName>
    <definedName name="_____XX1" localSheetId="0">#REF!</definedName>
    <definedName name="_____XX1">#REF!</definedName>
    <definedName name="____XX1" localSheetId="0">#REF!</definedName>
    <definedName name="____XX1">#REF!</definedName>
    <definedName name="___XX1" localSheetId="0">#REF!</definedName>
    <definedName name="___XX1">#REF!</definedName>
    <definedName name="__PD1" localSheetId="0">#REF!</definedName>
    <definedName name="__PD1">#REF!</definedName>
    <definedName name="__POA2" localSheetId="0">#REF!</definedName>
    <definedName name="__POA2">#REF!</definedName>
    <definedName name="__XX1" localSheetId="0">#REF!</definedName>
    <definedName name="__XX1">#REF!</definedName>
    <definedName name="_1" localSheetId="0" hidden="1">#REF!</definedName>
    <definedName name="_1" hidden="1">#REF!</definedName>
    <definedName name="_2" localSheetId="0">#REF!</definedName>
    <definedName name="_2">#REF!</definedName>
    <definedName name="_3" localSheetId="0">#REF!</definedName>
    <definedName name="_3">#REF!</definedName>
    <definedName name="_6" localSheetId="0">#REF!</definedName>
    <definedName name="_6">#REF!</definedName>
    <definedName name="_8" localSheetId="0">#REF!</definedName>
    <definedName name="_8">#REF!</definedName>
    <definedName name="_AAA1" localSheetId="0">#REF!</definedName>
    <definedName name="_AAA1">#REF!</definedName>
    <definedName name="_BHU1" localSheetId="0">#REF!</definedName>
    <definedName name="_BHU1">#REF!</definedName>
    <definedName name="_ddd" localSheetId="0">#REF!</definedName>
    <definedName name="_ddd">#REF!</definedName>
    <definedName name="_f" localSheetId="0">#REF!</definedName>
    <definedName name="_f">#REF!</definedName>
    <definedName name="_Fill" localSheetId="0">#REF!</definedName>
    <definedName name="_Fill">#REF!</definedName>
    <definedName name="_xlnm._FilterDatabase" localSheetId="0" hidden="1">'BM NUEVO'!$C$2:$F$72</definedName>
    <definedName name="_HSH1" localSheetId="0">#REF!</definedName>
    <definedName name="_HSH1">#REF!</definedName>
    <definedName name="_HSH2" localSheetId="0">#REF!</definedName>
    <definedName name="_HSH2">#REF!</definedName>
    <definedName name="_Key1" localSheetId="0">#REF!</definedName>
    <definedName name="_Key1">#REF!</definedName>
    <definedName name="_LIM" localSheetId="0">'[1]MATRIZ ABIERTA'!#REF!</definedName>
    <definedName name="_LIM">'[1]MATRIZ ABIERTA'!#REF!</definedName>
    <definedName name="_NO" localSheetId="0">'[1]MATRIZ ABIERTA'!#REF!</definedName>
    <definedName name="_NO">'[1]MATRIZ ABIERTA'!#REF!</definedName>
    <definedName name="_NP1" localSheetId="0">#REF!</definedName>
    <definedName name="_NP1">#REF!</definedName>
    <definedName name="_NP2" localSheetId="0">#REF!</definedName>
    <definedName name="_NP2">#REF!</definedName>
    <definedName name="_NSH1" localSheetId="0">#REF!</definedName>
    <definedName name="_NSH1">#REF!</definedName>
    <definedName name="_NSH2" localSheetId="0">#REF!</definedName>
    <definedName name="_NSH2">#REF!</definedName>
    <definedName name="_PD1" localSheetId="0">#REF!</definedName>
    <definedName name="_PD1">#REF!</definedName>
    <definedName name="_pl1" localSheetId="0">#REF!</definedName>
    <definedName name="_pl1">#REF!</definedName>
    <definedName name="_PL2" localSheetId="0">#REF!</definedName>
    <definedName name="_PL2">#REF!</definedName>
    <definedName name="_PL3" localSheetId="0">#REF!</definedName>
    <definedName name="_PL3">#REF!</definedName>
    <definedName name="_POA" localSheetId="0">#REF!</definedName>
    <definedName name="_POA">#REF!</definedName>
    <definedName name="_POA2" localSheetId="0">#REF!</definedName>
    <definedName name="_POA2">#REF!</definedName>
    <definedName name="_RESU" localSheetId="0">#REF!</definedName>
    <definedName name="_RESU">#REF!</definedName>
    <definedName name="_SBB1" localSheetId="0">#REF!</definedName>
    <definedName name="_SBB1">#REF!</definedName>
    <definedName name="_SBB2" localSheetId="0">#REF!</definedName>
    <definedName name="_SBB2">#REF!</definedName>
    <definedName name="_SBB3" localSheetId="0">#REF!</definedName>
    <definedName name="_SBB3">#REF!</definedName>
    <definedName name="_SBB4" localSheetId="0">#REF!</definedName>
    <definedName name="_SBB4">#REF!</definedName>
    <definedName name="_SBB5" localSheetId="0">#REF!</definedName>
    <definedName name="_SBB5">#REF!</definedName>
    <definedName name="_SFgh" localSheetId="0">#REF!</definedName>
    <definedName name="_SFgh">#REF!</definedName>
    <definedName name="_SHH1" localSheetId="0">#REF!</definedName>
    <definedName name="_SHH1">#REF!</definedName>
    <definedName name="_SHH2" localSheetId="0">#REF!</definedName>
    <definedName name="_SHH2">#REF!</definedName>
    <definedName name="_SHH3" localSheetId="0">#REF!</definedName>
    <definedName name="_SHH3">#REF!</definedName>
    <definedName name="_Sort" localSheetId="0">#REF!</definedName>
    <definedName name="_Sort">#REF!</definedName>
    <definedName name="_SUPER" localSheetId="0">'[1]MATRIZ ABIERTA'!#REF!</definedName>
    <definedName name="_SUPER">'[1]MATRIZ ABIERTA'!#REF!</definedName>
    <definedName name="_TAB" localSheetId="0">#REF!</definedName>
    <definedName name="_TAB">#REF!</definedName>
    <definedName name="_VALLA" localSheetId="0">'[1]MATRIZ ABIERTA'!#REF!</definedName>
    <definedName name="_VALLA">'[1]MATRIZ ABIERTA'!#REF!</definedName>
    <definedName name="_xlcn.WorksheetConnection_TablasdeMonitoreoconDotaciondeEspacios29octubre.xlsxProgramacion_Dotacion1" localSheetId="0" hidden="1">[2]!Programacion_Dotacion</definedName>
    <definedName name="_xlcn.WorksheetConnection_TablasdeMonitoreoconDotaciondeEspacios29octubre.xlsxProgramacion_Dotacion1" hidden="1">[2]!Programacion_Dotacion</definedName>
    <definedName name="_xlcn.WorksheetConnection_TablasdeMonitoreoTotal.xlsxTabla11" hidden="1">[3]!Tabla1[#Data]</definedName>
    <definedName name="_xlcn.WorksheetConnection_TablasdeMonitoreoTotal_21_10_20.xlsxLlamados1" localSheetId="0" hidden="1">Llamados</definedName>
    <definedName name="_xlcn.WorksheetConnection_TablasdeMonitoreoTotal_21_10_20.xlsxLlamados1" hidden="1">Llamados</definedName>
    <definedName name="_xlcn.WorksheetConnection_TablasdeMonitoreoTotal_22_10_20_sinGrupo31_NOV.xlsxAlertas1" localSheetId="0" hidden="1">Alertas</definedName>
    <definedName name="_xlcn.WorksheetConnection_TablasdeMonitoreoTotal_22_10_20_sinGrupo31_NOV.xlsxAlertas1" hidden="1">Alertas</definedName>
    <definedName name="_xlcn.WorksheetConnection_TablasdeMonitoreoTotal_22_10_20_sinGrupo31_NOV.xlsxAlertas11" hidden="1">[4]!Alertas[#Data]</definedName>
    <definedName name="_xlcn.WorksheetConnection_TablasdeMonitoreoTotal_22_10_20_sinGrupo31_NOV.xlsxAlertas21" hidden="1">[4]!Alertas[#Data]</definedName>
    <definedName name="_xlcn.WorksheetConnection_TablasdeMonitoreoTotal_22_10_20_sinGrupo31_NOV.xlsxAlertas31" hidden="1">[4]!Alertas[#Data]</definedName>
    <definedName name="_xlcn.WorksheetConnection_TablasdeMonitoreoTotal_22_10_20_sinGrupo31_NOV.xlsxTipoMeta1" localSheetId="0" hidden="1">TipoMeta</definedName>
    <definedName name="_xlcn.WorksheetConnection_TablasdeMonitoreoTotal_22_10_20_sinGrupo31_NOV.xlsxTipoMeta1" hidden="1">TipoMeta</definedName>
    <definedName name="_XX1" localSheetId="0">#REF!</definedName>
    <definedName name="_XX1">#REF!</definedName>
    <definedName name="A" localSheetId="0">#REF!</definedName>
    <definedName name="A">#REF!</definedName>
    <definedName name="A_1" localSheetId="0" hidden="1">#REF!</definedName>
    <definedName name="A_1" hidden="1">#REF!</definedName>
    <definedName name="A_12" localSheetId="0">#REF!</definedName>
    <definedName name="A_12">#REF!</definedName>
    <definedName name="A_4" localSheetId="0">#REF!</definedName>
    <definedName name="A_4">#REF!</definedName>
    <definedName name="aaa" localSheetId="0">#REF!</definedName>
    <definedName name="aaa">#REF!</definedName>
    <definedName name="ad" localSheetId="0">#REF!</definedName>
    <definedName name="ad">#REF!</definedName>
    <definedName name="add" localSheetId="0">#REF!</definedName>
    <definedName name="add">#REF!</definedName>
    <definedName name="ae" localSheetId="0">#REF!</definedName>
    <definedName name="ae">#REF!</definedName>
    <definedName name="af" localSheetId="0">#REF!</definedName>
    <definedName name="af">#REF!</definedName>
    <definedName name="aff" localSheetId="0">#REF!</definedName>
    <definedName name="aff">#REF!</definedName>
    <definedName name="ag" localSheetId="0">#REF!</definedName>
    <definedName name="ag">#REF!</definedName>
    <definedName name="agg" localSheetId="0">#REF!</definedName>
    <definedName name="agg">#REF!</definedName>
    <definedName name="ah" localSheetId="0">#REF!</definedName>
    <definedName name="ah">#REF!</definedName>
    <definedName name="ahh" localSheetId="0">#REF!</definedName>
    <definedName name="ahh">#REF!</definedName>
    <definedName name="an" localSheetId="0">#REF!</definedName>
    <definedName name="an">#REF!</definedName>
    <definedName name="Ancho_Alcantarilla" localSheetId="0">#REF!</definedName>
    <definedName name="Ancho_Alcantarilla">#REF!</definedName>
    <definedName name="ann" localSheetId="0">#REF!</definedName>
    <definedName name="ann">#REF!</definedName>
    <definedName name="ano" localSheetId="0">#REF!</definedName>
    <definedName name="ano">#REF!</definedName>
    <definedName name="_xlnm.Print_Area" localSheetId="0">'BM NUEVO'!$A$1:$F$70</definedName>
    <definedName name="arr" localSheetId="0">#REF!</definedName>
    <definedName name="arr">#REF!</definedName>
    <definedName name="as" localSheetId="0">#REF!</definedName>
    <definedName name="as">#REF!</definedName>
    <definedName name="ass" localSheetId="0">#REF!</definedName>
    <definedName name="ass">#REF!</definedName>
    <definedName name="avvvv" localSheetId="0">#REF!</definedName>
    <definedName name="avvvv">#REF!</definedName>
    <definedName name="avvvvv" localSheetId="0">#REF!</definedName>
    <definedName name="avvvvv">#REF!</definedName>
    <definedName name="ayudante" localSheetId="0">#REF!</definedName>
    <definedName name="ayudante">#REF!</definedName>
    <definedName name="B" localSheetId="0">#REF!</definedName>
    <definedName name="B">#REF!</definedName>
    <definedName name="B1A" localSheetId="0">#REF!</definedName>
    <definedName name="B1A">#REF!</definedName>
    <definedName name="B1B" localSheetId="0">#REF!</definedName>
    <definedName name="B1B">#REF!</definedName>
    <definedName name="B1WL" localSheetId="0">#REF!</definedName>
    <definedName name="B1WL">#REF!</definedName>
    <definedName name="B1WR" localSheetId="0">#REF!</definedName>
    <definedName name="B1WR">#REF!</definedName>
    <definedName name="B2A" localSheetId="0">#REF!</definedName>
    <definedName name="B2A">#REF!</definedName>
    <definedName name="B2B" localSheetId="0">#REF!</definedName>
    <definedName name="B2B">#REF!</definedName>
    <definedName name="B2WL" localSheetId="0">#REF!</definedName>
    <definedName name="B2WL">#REF!</definedName>
    <definedName name="B2WR" localSheetId="0">#REF!</definedName>
    <definedName name="B2WR">#REF!</definedName>
    <definedName name="B3A" localSheetId="0">#REF!</definedName>
    <definedName name="B3A">#REF!</definedName>
    <definedName name="B3B" localSheetId="0">#REF!</definedName>
    <definedName name="B3B">#REF!</definedName>
    <definedName name="B4A" localSheetId="0">#REF!</definedName>
    <definedName name="B4A">#REF!</definedName>
    <definedName name="B4B" localSheetId="0">#REF!</definedName>
    <definedName name="B4B">#REF!</definedName>
    <definedName name="B5A" localSheetId="0">#REF!</definedName>
    <definedName name="B5A">#REF!</definedName>
    <definedName name="B5B" localSheetId="0">#REF!</definedName>
    <definedName name="B5B">#REF!</definedName>
    <definedName name="B6A" localSheetId="0">#REF!</definedName>
    <definedName name="B6A">#REF!</definedName>
    <definedName name="B6B" localSheetId="0">#REF!</definedName>
    <definedName name="B6B">#REF!</definedName>
    <definedName name="B7A" localSheetId="0">#REF!</definedName>
    <definedName name="B7A">#REF!</definedName>
    <definedName name="B7B" localSheetId="0">#REF!</definedName>
    <definedName name="B7B">#REF!</definedName>
    <definedName name="B8A" localSheetId="0">#REF!</definedName>
    <definedName name="B8A">#REF!</definedName>
    <definedName name="BA" localSheetId="0">#REF!</definedName>
    <definedName name="BA">#REF!</definedName>
    <definedName name="BC" localSheetId="0">#REF!</definedName>
    <definedName name="BC">#REF!</definedName>
    <definedName name="ben" localSheetId="0">#REF!</definedName>
    <definedName name="ben">#REF!</definedName>
    <definedName name="BF" localSheetId="0">#REF!</definedName>
    <definedName name="BF">#REF!</definedName>
    <definedName name="BHU" localSheetId="0">#REF!</definedName>
    <definedName name="BHU">#REF!</definedName>
    <definedName name="BMO" localSheetId="0">#REF!</definedName>
    <definedName name="BMO">#REF!</definedName>
    <definedName name="BSB" localSheetId="0">#REF!</definedName>
    <definedName name="BSB">#REF!</definedName>
    <definedName name="BSH" localSheetId="0">#REF!</definedName>
    <definedName name="BSH">#REF!</definedName>
    <definedName name="BuiltIn_Print_Area___0" localSheetId="0">#REF!</definedName>
    <definedName name="BuiltIn_Print_Area___0">#REF!</definedName>
    <definedName name="CambioUSD">4400</definedName>
    <definedName name="celulares" localSheetId="0">#REF!</definedName>
    <definedName name="celulares">#REF!</definedName>
    <definedName name="celulares11" localSheetId="0">#REF!</definedName>
    <definedName name="celulares11">#REF!</definedName>
    <definedName name="celulares12" localSheetId="0">#REF!</definedName>
    <definedName name="celulares12">#REF!</definedName>
    <definedName name="celulares13" localSheetId="0">#REF!</definedName>
    <definedName name="celulares13">#REF!</definedName>
    <definedName name="cert_hist_acum" localSheetId="0">#REF!</definedName>
    <definedName name="cert_hist_acum">#REF!</definedName>
    <definedName name="Cimentación_según_estudio_de_suelo" localSheetId="0">'[1]MATRIZ ABIERTA'!#REF!</definedName>
    <definedName name="Cimentación_según_estudio_de_suelo">'[1]MATRIZ ABIERTA'!#REF!</definedName>
    <definedName name="coef_edi" localSheetId="0">#REF!</definedName>
    <definedName name="coef_edi">#REF!</definedName>
    <definedName name="coef_maq" localSheetId="0">#REF!</definedName>
    <definedName name="coef_maq">#REF!</definedName>
    <definedName name="coef_mat" localSheetId="0">#REF!</definedName>
    <definedName name="coef_mat">#REF!</definedName>
    <definedName name="coef_tc" localSheetId="0">#REF!</definedName>
    <definedName name="coef_tc">#REF!</definedName>
    <definedName name="coerep" localSheetId="0">#REF!</definedName>
    <definedName name="coerep">#REF!</definedName>
    <definedName name="Component1">[5]RRF!$C$8</definedName>
    <definedName name="Component11">[5]RRF!$C$44</definedName>
    <definedName name="Component2">[5]RRF!$C$12</definedName>
    <definedName name="Component3">[5]RRF!$C$19</definedName>
    <definedName name="Component4">[5]RRF!$C$26</definedName>
    <definedName name="Component7">[5]RRF!$C$31</definedName>
    <definedName name="Component8">[5]RRF!$C$35</definedName>
    <definedName name="Component9">[5]RRF!$C$40</definedName>
    <definedName name="computo" localSheetId="0">#REF!</definedName>
    <definedName name="computo">#REF!</definedName>
    <definedName name="congas" localSheetId="0">#REF!</definedName>
    <definedName name="congas">#REF!</definedName>
    <definedName name="connaf" localSheetId="0">#REF!</definedName>
    <definedName name="connaf">#REF!</definedName>
    <definedName name="CURRENCY_NAME" localSheetId="0">#REF!</definedName>
    <definedName name="CURRENCY_NAME">#REF!</definedName>
    <definedName name="DC" localSheetId="0">#REF!</definedName>
    <definedName name="DC">#REF!</definedName>
    <definedName name="DDD" localSheetId="0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dddd" localSheetId="0">#REF!</definedName>
    <definedName name="dddddd">#REF!</definedName>
    <definedName name="ddddddd" localSheetId="0">#REF!</definedName>
    <definedName name="ddddddd">#REF!</definedName>
    <definedName name="DDF" localSheetId="0">#REF!</definedName>
    <definedName name="DDF">#REF!</definedName>
    <definedName name="Dec_Ds" localSheetId="0">#REF!</definedName>
    <definedName name="Dec_Ds">#REF!</definedName>
    <definedName name="Dec_Gs" localSheetId="0">#REF!</definedName>
    <definedName name="Dec_Gs">#REF!</definedName>
    <definedName name="DF" localSheetId="0">#REF!</definedName>
    <definedName name="DF">#REF!</definedName>
    <definedName name="dfdf" localSheetId="0">#REF!</definedName>
    <definedName name="dfdf">#REF!</definedName>
    <definedName name="dfg" localSheetId="0">#REF!</definedName>
    <definedName name="dfg">#REF!</definedName>
    <definedName name="dfggh" localSheetId="0">#REF!</definedName>
    <definedName name="dfggh">#REF!</definedName>
    <definedName name="DG" localSheetId="0">#REF!</definedName>
    <definedName name="DG">#REF!</definedName>
    <definedName name="dh" localSheetId="0">#REF!</definedName>
    <definedName name="dh">#REF!</definedName>
    <definedName name="DIA" localSheetId="0">#REF!</definedName>
    <definedName name="DIA">#REF!</definedName>
    <definedName name="dj" localSheetId="0">#REF!</definedName>
    <definedName name="dj">#REF!</definedName>
    <definedName name="dk" localSheetId="0">#REF!</definedName>
    <definedName name="dk">#REF!</definedName>
    <definedName name="dls" localSheetId="0">#REF!</definedName>
    <definedName name="dls">#REF!</definedName>
    <definedName name="DPI" localSheetId="0">#REF!</definedName>
    <definedName name="DPI">#REF!</definedName>
    <definedName name="DWD" localSheetId="0">#REF!</definedName>
    <definedName name="DWD">#REF!</definedName>
    <definedName name="E" localSheetId="0">#REF!</definedName>
    <definedName name="E">#REF!</definedName>
    <definedName name="EEE" localSheetId="0">#REF!</definedName>
    <definedName name="EEE">#REF!</definedName>
    <definedName name="efdd" localSheetId="0">#REF!</definedName>
    <definedName name="efdd">#REF!</definedName>
    <definedName name="eqipo_des" localSheetId="0">#REF!</definedName>
    <definedName name="eqipo_des">#REF!</definedName>
    <definedName name="Equ_Cod" localSheetId="0">#REF!</definedName>
    <definedName name="Equ_Cod">#REF!</definedName>
    <definedName name="Equ_Pad" localSheetId="0">#REF!</definedName>
    <definedName name="Equ_Pad">#REF!</definedName>
    <definedName name="Equ_Pre" localSheetId="0">#REF!</definedName>
    <definedName name="Equ_Pre">#REF!</definedName>
    <definedName name="EQUIPOSH" localSheetId="0">#REF!</definedName>
    <definedName name="EQUIPOSH">#REF!</definedName>
    <definedName name="EXCHANGE" localSheetId="0">#REF!</definedName>
    <definedName name="EXCHANGE">#REF!</definedName>
    <definedName name="facut" localSheetId="0">#REF!</definedName>
    <definedName name="facut">#REF!</definedName>
    <definedName name="FD" localSheetId="0">#REF!</definedName>
    <definedName name="FD">#REF!</definedName>
    <definedName name="fdfd" localSheetId="0">#REF!</definedName>
    <definedName name="fdfd">#REF!</definedName>
    <definedName name="fdfdfd" localSheetId="0">#REF!</definedName>
    <definedName name="fdfdfd">#REF!</definedName>
    <definedName name="fdfe" localSheetId="0">#REF!</definedName>
    <definedName name="fdfe">#REF!</definedName>
    <definedName name="FDS" localSheetId="0">#REF!</definedName>
    <definedName name="FDS">#REF!</definedName>
    <definedName name="FEF" localSheetId="0">#REF!</definedName>
    <definedName name="FEF">#REF!</definedName>
    <definedName name="FEFE" localSheetId="0">#REF!</definedName>
    <definedName name="FEFE">#REF!</definedName>
    <definedName name="FFF" localSheetId="0">#REF!</definedName>
    <definedName name="FFF">#REF!</definedName>
    <definedName name="ffff" localSheetId="0">#REF!</definedName>
    <definedName name="ffff">#REF!</definedName>
    <definedName name="ffffff" localSheetId="0">#REF!</definedName>
    <definedName name="ffffff">#REF!</definedName>
    <definedName name="ffffffff" localSheetId="0">#REF!</definedName>
    <definedName name="ffffffff">#REF!</definedName>
    <definedName name="FGF" localSheetId="0">#REF!</definedName>
    <definedName name="FGF">#REF!</definedName>
    <definedName name="FN" localSheetId="0">#REF!</definedName>
    <definedName name="FN">#REF!</definedName>
    <definedName name="FRW환율" localSheetId="0">#REF!</definedName>
    <definedName name="FRW환율">#REF!</definedName>
    <definedName name="fsdf" localSheetId="0">#REF!</definedName>
    <definedName name="fsdf">#REF!</definedName>
    <definedName name="G" localSheetId="0">#REF!</definedName>
    <definedName name="G">#REF!</definedName>
    <definedName name="Garfico1" localSheetId="0">#REF!</definedName>
    <definedName name="Garfico1">#REF!</definedName>
    <definedName name="gasoil" localSheetId="0">#REF!</definedName>
    <definedName name="gasoil">#REF!</definedName>
    <definedName name="gbc" localSheetId="0">#REF!</definedName>
    <definedName name="gbc">#REF!</definedName>
    <definedName name="GEW" localSheetId="0">#REF!</definedName>
    <definedName name="GEW">#REF!</definedName>
    <definedName name="GFG" localSheetId="0">#REF!</definedName>
    <definedName name="GFG">#REF!</definedName>
    <definedName name="gfgfg" localSheetId="0">#REF!</definedName>
    <definedName name="gfgfg">#REF!</definedName>
    <definedName name="gg" localSheetId="0">#REF!</definedName>
    <definedName name="gg">#REF!</definedName>
    <definedName name="GGG" localSheetId="0">#REF!</definedName>
    <definedName name="GGG">#REF!</definedName>
    <definedName name="GH" localSheetId="0">#REF!</definedName>
    <definedName name="GH">#REF!</definedName>
    <definedName name="GRAFI" localSheetId="0">#REF!</definedName>
    <definedName name="GRAFI">#REF!</definedName>
    <definedName name="GRAFICO" localSheetId="0">#REF!</definedName>
    <definedName name="GRAFICO">#REF!</definedName>
    <definedName name="H" localSheetId="0">#REF!</definedName>
    <definedName name="H">#REF!</definedName>
    <definedName name="H1C" localSheetId="0">#REF!</definedName>
    <definedName name="H1C">#REF!</definedName>
    <definedName name="H1H" localSheetId="0">#REF!</definedName>
    <definedName name="H1H">#REF!</definedName>
    <definedName name="H1L" localSheetId="0">#REF!</definedName>
    <definedName name="H1L">#REF!</definedName>
    <definedName name="H1R" localSheetId="0">#REF!</definedName>
    <definedName name="H1R">#REF!</definedName>
    <definedName name="H1WL" localSheetId="0">#REF!</definedName>
    <definedName name="H1WL">#REF!</definedName>
    <definedName name="H1WR" localSheetId="0">#REF!</definedName>
    <definedName name="H1WR">#REF!</definedName>
    <definedName name="H2C" localSheetId="0">#REF!</definedName>
    <definedName name="H2C">#REF!</definedName>
    <definedName name="H2H" localSheetId="0">#REF!</definedName>
    <definedName name="H2H">#REF!</definedName>
    <definedName name="H2L" localSheetId="0">#REF!</definedName>
    <definedName name="H2L">#REF!</definedName>
    <definedName name="H2R" localSheetId="0">#REF!</definedName>
    <definedName name="H2R">#REF!</definedName>
    <definedName name="H2WL" localSheetId="0">#REF!</definedName>
    <definedName name="H2WL">#REF!</definedName>
    <definedName name="H2WR" localSheetId="0">#REF!</definedName>
    <definedName name="H2WR">#REF!</definedName>
    <definedName name="H3H" localSheetId="0">#REF!</definedName>
    <definedName name="H3H">#REF!</definedName>
    <definedName name="H3L" localSheetId="0">#REF!</definedName>
    <definedName name="H3L">#REF!</definedName>
    <definedName name="H3R" localSheetId="0">#REF!</definedName>
    <definedName name="H3R">#REF!</definedName>
    <definedName name="H3WL" localSheetId="0">#REF!</definedName>
    <definedName name="H3WL">#REF!</definedName>
    <definedName name="H3WR" localSheetId="0">#REF!</definedName>
    <definedName name="H3WR">#REF!</definedName>
    <definedName name="H4H" localSheetId="0">#REF!</definedName>
    <definedName name="H4H">#REF!</definedName>
    <definedName name="H4L" localSheetId="0">#REF!</definedName>
    <definedName name="H4L">#REF!</definedName>
    <definedName name="H4R" localSheetId="0">#REF!</definedName>
    <definedName name="H4R">#REF!</definedName>
    <definedName name="H5L" localSheetId="0">#REF!</definedName>
    <definedName name="H5L">#REF!</definedName>
    <definedName name="H5R" localSheetId="0">#REF!</definedName>
    <definedName name="H5R">#REF!</definedName>
    <definedName name="H6L" localSheetId="0">#REF!</definedName>
    <definedName name="H6L">#REF!</definedName>
    <definedName name="H6R" localSheetId="0">#REF!</definedName>
    <definedName name="H6R">#REF!</definedName>
    <definedName name="H7L" localSheetId="0">#REF!</definedName>
    <definedName name="H7L">#REF!</definedName>
    <definedName name="H7R" localSheetId="0">#REF!</definedName>
    <definedName name="H7R">#REF!</definedName>
    <definedName name="H9A" localSheetId="0">#REF!</definedName>
    <definedName name="H9A">#REF!</definedName>
    <definedName name="HDGBGD" localSheetId="0">#REF!</definedName>
    <definedName name="HDGBGD">#REF!</definedName>
    <definedName name="HF" localSheetId="0">#REF!</definedName>
    <definedName name="HF">#REF!</definedName>
    <definedName name="hgf" localSheetId="0">#REF!</definedName>
    <definedName name="hgf">#REF!</definedName>
    <definedName name="HH" localSheetId="0">#REF!</definedName>
    <definedName name="HH">#REF!</definedName>
    <definedName name="HHH" localSheetId="0">#REF!</definedName>
    <definedName name="HHH">#REF!</definedName>
    <definedName name="HL" localSheetId="0">#REF!</definedName>
    <definedName name="HL">#REF!</definedName>
    <definedName name="HMHM" localSheetId="0">#REF!</definedName>
    <definedName name="HMHM">#REF!</definedName>
    <definedName name="HP" localSheetId="0">#REF!</definedName>
    <definedName name="HP">#REF!</definedName>
    <definedName name="HR" localSheetId="0">#REF!</definedName>
    <definedName name="HR">#REF!</definedName>
    <definedName name="HS" localSheetId="0">#REF!</definedName>
    <definedName name="HS">#REF!</definedName>
    <definedName name="Hs_Equ" localSheetId="0">#REF!</definedName>
    <definedName name="Hs_Equ">#REF!</definedName>
    <definedName name="Hs_Fle" localSheetId="0">#REF!</definedName>
    <definedName name="Hs_Fle">#REF!</definedName>
    <definedName name="Hs_Mat" localSheetId="0">#REF!</definedName>
    <definedName name="Hs_Mat">#REF!</definedName>
    <definedName name="Hs_Mdo" localSheetId="0">#REF!</definedName>
    <definedName name="Hs_Mdo">#REF!</definedName>
    <definedName name="HSH" localSheetId="0">#REF!</definedName>
    <definedName name="HSH">#REF!</definedName>
    <definedName name="HTHT" localSheetId="0">#REF!</definedName>
    <definedName name="HTHT">#REF!</definedName>
    <definedName name="HWL" localSheetId="0">#REF!</definedName>
    <definedName name="HWL">#REF!</definedName>
    <definedName name="HWR" localSheetId="0">#REF!</definedName>
    <definedName name="HWR">#REF!</definedName>
    <definedName name="ii" localSheetId="0">#REF!</definedName>
    <definedName name="ii">#REF!</definedName>
    <definedName name="III" localSheetId="0">#REF!</definedName>
    <definedName name="III">#REF!</definedName>
    <definedName name="iiii" localSheetId="0">#REF!</definedName>
    <definedName name="iiii">#REF!</definedName>
    <definedName name="iiiii" localSheetId="0">#REF!</definedName>
    <definedName name="iiiii">#REF!</definedName>
    <definedName name="iiiiii" localSheetId="0">#REF!</definedName>
    <definedName name="iiiiii">#REF!</definedName>
    <definedName name="iiiiiii" localSheetId="0">#REF!</definedName>
    <definedName name="iiiiiii">#REF!</definedName>
    <definedName name="iiiiiiii" localSheetId="0">#REF!</definedName>
    <definedName name="iiiiiiii">#REF!</definedName>
    <definedName name="iiu" localSheetId="0">#REF!</definedName>
    <definedName name="iiu">#REF!</definedName>
    <definedName name="IMP" localSheetId="0">#REF!</definedName>
    <definedName name="IMP">#REF!</definedName>
    <definedName name="INSTITUCIONES">'[6]BASE DE DATOS'!$A$166:$A$578</definedName>
    <definedName name="int" localSheetId="0">#REF!</definedName>
    <definedName name="int">#REF!</definedName>
    <definedName name="ITEMS" localSheetId="0">#REF!</definedName>
    <definedName name="ITEMS">#REF!</definedName>
    <definedName name="itemsfinan" localSheetId="0">#REF!</definedName>
    <definedName name="itemsfinan">#REF!</definedName>
    <definedName name="iu" localSheetId="0">#REF!</definedName>
    <definedName name="iu">#REF!</definedName>
    <definedName name="iuuu" localSheetId="0">#REF!</definedName>
    <definedName name="iuuu">#REF!</definedName>
    <definedName name="J" localSheetId="0">#REF!</definedName>
    <definedName name="J">#REF!</definedName>
    <definedName name="jj" localSheetId="0">#REF!</definedName>
    <definedName name="jj">#REF!</definedName>
    <definedName name="JJJ" localSheetId="0">#REF!</definedName>
    <definedName name="JJJ">#REF!</definedName>
    <definedName name="JYJY" localSheetId="0">#REF!</definedName>
    <definedName name="JYJY">#REF!</definedName>
    <definedName name="k" localSheetId="0">#REF!</definedName>
    <definedName name="k">#REF!</definedName>
    <definedName name="kd" localSheetId="0">#REF!</definedName>
    <definedName name="kd">#REF!</definedName>
    <definedName name="kf" localSheetId="0">#REF!</definedName>
    <definedName name="kf">#REF!</definedName>
    <definedName name="kk" localSheetId="0">#REF!</definedName>
    <definedName name="kk">#REF!</definedName>
    <definedName name="KKK" localSheetId="0">#REF!</definedName>
    <definedName name="KKK">#REF!</definedName>
    <definedName name="KUK" localSheetId="0">#REF!</definedName>
    <definedName name="KUK">#REF!</definedName>
    <definedName name="L" localSheetId="0">#REF!</definedName>
    <definedName name="L">#REF!</definedName>
    <definedName name="L1L" localSheetId="0">#REF!</definedName>
    <definedName name="L1L">#REF!</definedName>
    <definedName name="L2L" localSheetId="0">#REF!</definedName>
    <definedName name="L2L">#REF!</definedName>
    <definedName name="L3L" localSheetId="0">#REF!</definedName>
    <definedName name="L3L">#REF!</definedName>
    <definedName name="L4L" localSheetId="0">#REF!</definedName>
    <definedName name="L4L">#REF!</definedName>
    <definedName name="Level1">[5]MER!$J$15</definedName>
    <definedName name="Level11">[5]MER!$J$25</definedName>
    <definedName name="Level2">[5]MER!$J$16</definedName>
    <definedName name="Level3">[5]MER!$J$17</definedName>
    <definedName name="Level4">[5]MER!$J$18</definedName>
    <definedName name="Level7">[5]MER!$J$21</definedName>
    <definedName name="Level8">[5]MER!$J$22</definedName>
    <definedName name="Level9">[5]MER!$J$23</definedName>
    <definedName name="Limpieza_y_preparación_del_terreno" localSheetId="0">'[1]MATRIZ ABIERTA'!#REF!</definedName>
    <definedName name="Limpieza_y_preparación_del_terreno">'[1]MATRIZ ABIERTA'!#REF!</definedName>
    <definedName name="ljg" localSheetId="0">#REF!</definedName>
    <definedName name="ljg">#REF!</definedName>
    <definedName name="LK" localSheetId="0">#REF!</definedName>
    <definedName name="LK">#REF!</definedName>
    <definedName name="ll" localSheetId="0">#REF!</definedName>
    <definedName name="ll">#REF!</definedName>
    <definedName name="LLL" localSheetId="0">#REF!</definedName>
    <definedName name="LLL">#REF!</definedName>
    <definedName name="LMO" localSheetId="0">#REF!</definedName>
    <definedName name="LMO">#REF!</definedName>
    <definedName name="LPI" localSheetId="0">#REF!</definedName>
    <definedName name="LPI">#REF!</definedName>
    <definedName name="LSH" localSheetId="0">#REF!</definedName>
    <definedName name="LSH">#REF!</definedName>
    <definedName name="lub" localSheetId="0">#REF!</definedName>
    <definedName name="lub">#REF!</definedName>
    <definedName name="luis" localSheetId="0">#REF!</definedName>
    <definedName name="luis">#REF!</definedName>
    <definedName name="L형이음부" localSheetId="0">#REF!</definedName>
    <definedName name="L형이음부">#REF!</definedName>
    <definedName name="MANOBRA" localSheetId="0">#REF!</definedName>
    <definedName name="MANOBRA">#REF!</definedName>
    <definedName name="materiales_des" localSheetId="0">#REF!</definedName>
    <definedName name="materiales_des">#REF!</definedName>
    <definedName name="matrizeq" localSheetId="0">#REF!</definedName>
    <definedName name="matrizeq">#REF!</definedName>
    <definedName name="MATRIZITEMS" localSheetId="0">#REF!</definedName>
    <definedName name="MATRIZITEMS">#REF!</definedName>
    <definedName name="matrizmat" localSheetId="0">#REF!</definedName>
    <definedName name="matrizmat">#REF!</definedName>
    <definedName name="matrizper" localSheetId="0">#REF!</definedName>
    <definedName name="matrizper">#REF!</definedName>
    <definedName name="matrizprecio" localSheetId="0">#REF!</definedName>
    <definedName name="matrizprecio">#REF!</definedName>
    <definedName name="matriztrasp" localSheetId="0">#REF!</definedName>
    <definedName name="matriztrasp">#REF!</definedName>
    <definedName name="mobra_des" localSheetId="0">#REF!</definedName>
    <definedName name="mobra_des">#REF!</definedName>
    <definedName name="moficial" localSheetId="0">#REF!</definedName>
    <definedName name="moficial">#REF!</definedName>
    <definedName name="MSTOCK01" localSheetId="0">#REF!</definedName>
    <definedName name="MSTOCK01">#REF!</definedName>
    <definedName name="N1S" localSheetId="0">#REF!</definedName>
    <definedName name="N1S">#REF!</definedName>
    <definedName name="N2S" localSheetId="0">#REF!</definedName>
    <definedName name="N2S">#REF!</definedName>
    <definedName name="N3S" localSheetId="0">#REF!</definedName>
    <definedName name="N3S">#REF!</definedName>
    <definedName name="nafta" localSheetId="0">#REF!</definedName>
    <definedName name="nafta">#REF!</definedName>
    <definedName name="NDO" localSheetId="0">#REF!</definedName>
    <definedName name="NDO">#REF!</definedName>
    <definedName name="ngf" localSheetId="0">#REF!</definedName>
    <definedName name="ngf">#REF!</definedName>
    <definedName name="NO" localSheetId="0">#REF!</definedName>
    <definedName name="NO">#REF!</definedName>
    <definedName name="nombreeq" localSheetId="0">#REF!</definedName>
    <definedName name="nombreeq">#REF!</definedName>
    <definedName name="nombremat" localSheetId="0">#REF!</definedName>
    <definedName name="nombremat">#REF!</definedName>
    <definedName name="nombretrasp" localSheetId="0">#REF!</definedName>
    <definedName name="nombretrasp">#REF!</definedName>
    <definedName name="NPI" localSheetId="0">#REF!</definedName>
    <definedName name="NPI">#REF!</definedName>
    <definedName name="NSH" localSheetId="0">#REF!</definedName>
    <definedName name="NSH">#REF!</definedName>
    <definedName name="NSO" localSheetId="0">#REF!</definedName>
    <definedName name="NSO">#REF!</definedName>
    <definedName name="Nucleo" localSheetId="0">#REF!</definedName>
    <definedName name="Nucleo">#REF!</definedName>
    <definedName name="o" localSheetId="0">#REF!</definedName>
    <definedName name="o">#REF!</definedName>
    <definedName name="obras16" localSheetId="0">#REF!</definedName>
    <definedName name="obras16">#REF!</definedName>
    <definedName name="OFERTA" localSheetId="0">#REF!</definedName>
    <definedName name="OFERTA">#REF!</definedName>
    <definedName name="oficial" localSheetId="0">#REF!</definedName>
    <definedName name="oficial">#REF!</definedName>
    <definedName name="op" localSheetId="0">#REF!</definedName>
    <definedName name="op">#REF!</definedName>
    <definedName name="p" localSheetId="0">#REF!</definedName>
    <definedName name="p">#REF!</definedName>
    <definedName name="PD" localSheetId="0">#REF!</definedName>
    <definedName name="PD">#REF!</definedName>
    <definedName name="pegas" localSheetId="0">#REF!</definedName>
    <definedName name="pegas">#REF!</definedName>
    <definedName name="penaf" localSheetId="0">#REF!</definedName>
    <definedName name="penaf">#REF!</definedName>
    <definedName name="PHUAWEIHW1" localSheetId="0">#REF!</definedName>
    <definedName name="PHUAWEIHW1">#REF!</definedName>
    <definedName name="PHUAWEISERVICE1" localSheetId="0">#REF!</definedName>
    <definedName name="PHUAWEISERVICE1">#REF!</definedName>
    <definedName name="PHUAWEISW1" localSheetId="0">#REF!</definedName>
    <definedName name="PHUAWEISW1">#REF!</definedName>
    <definedName name="PL" localSheetId="0">#REF!</definedName>
    <definedName name="PL">#REF!</definedName>
    <definedName name="PLOCALOUTSOURCING1" localSheetId="0">#REF!</definedName>
    <definedName name="PLOCALOUTSOURCING1">#REF!</definedName>
    <definedName name="PLOCALSERVICE1" localSheetId="0">#REF!</definedName>
    <definedName name="PLOCALSERVICE1">#REF!</definedName>
    <definedName name="PLSSERVICE1" localSheetId="0">#REF!</definedName>
    <definedName name="PLSSERVICE1">#REF!</definedName>
    <definedName name="PN" localSheetId="0">#REF!</definedName>
    <definedName name="PN">#REF!</definedName>
    <definedName name="POA_21" localSheetId="0">#REF!</definedName>
    <definedName name="POA_21">#REF!</definedName>
    <definedName name="POUTSOURINGHW1" localSheetId="0">#REF!</definedName>
    <definedName name="POUTSOURINGHW1">#REF!</definedName>
    <definedName name="POUTSOURINGSW1" localSheetId="0">#REF!</definedName>
    <definedName name="POUTSOURINGSW1">#REF!</definedName>
    <definedName name="pp" localSheetId="0">#REF!</definedName>
    <definedName name="pp">#REF!</definedName>
    <definedName name="ppp" localSheetId="0">#REF!</definedName>
    <definedName name="ppp">#REF!</definedName>
    <definedName name="precio_u" localSheetId="0">#REF!</definedName>
    <definedName name="precio_u">#REF!</definedName>
    <definedName name="preciou" localSheetId="0">#REF!</definedName>
    <definedName name="preciou">#REF!</definedName>
    <definedName name="PREG_DOS" localSheetId="0">#REF!</definedName>
    <definedName name="PREG_DOS">#REF!</definedName>
    <definedName name="Pres" localSheetId="0">#REF!</definedName>
    <definedName name="Pres">#REF!</definedName>
    <definedName name="presupuesto" localSheetId="0">#REF!</definedName>
    <definedName name="presupuesto">#REF!</definedName>
    <definedName name="prin" localSheetId="0">#REF!</definedName>
    <definedName name="prin">#REF!</definedName>
    <definedName name="PRINEL" localSheetId="0">#REF!</definedName>
    <definedName name="PRINEL">#REF!</definedName>
    <definedName name="Print_Area_1" localSheetId="0">#REF!</definedName>
    <definedName name="Print_Area_1">#REF!</definedName>
    <definedName name="Print_Area_MI" localSheetId="0">#REF!</definedName>
    <definedName name="Print_Area_MI">#REF!</definedName>
    <definedName name="Prueba" localSheetId="0">#REF!</definedName>
    <definedName name="Prueba">#REF!</definedName>
    <definedName name="PT" localSheetId="0">#REF!</definedName>
    <definedName name="PT">#REF!</definedName>
    <definedName name="PVIRTUALTRADECATEGORY1" localSheetId="0">#REF!</definedName>
    <definedName name="PVIRTUALTRADECATEGORY1">#REF!</definedName>
    <definedName name="QF_SYS_BRANCHOFFICE" localSheetId="0">#REF!</definedName>
    <definedName name="QF_SYS_BRANCHOFFICE">#REF!</definedName>
    <definedName name="QF_SYS_BUSINESS_TYPE" localSheetId="0">#REF!</definedName>
    <definedName name="QF_SYS_BUSINESS_TYPE">#REF!</definedName>
    <definedName name="QF_SYS_COE" localSheetId="0">#REF!</definedName>
    <definedName name="QF_SYS_COE">#REF!</definedName>
    <definedName name="QF_SYS_CONTRACT_NUMBER" localSheetId="0">#REF!</definedName>
    <definedName name="QF_SYS_CONTRACT_NUMBER">#REF!</definedName>
    <definedName name="QF_SYS_CURRENCY1" localSheetId="0">#REF!</definedName>
    <definedName name="QF_SYS_CURRENCY1">#REF!</definedName>
    <definedName name="QF_SYS_DECIMAL_FORMAT" localSheetId="0">#REF!</definedName>
    <definedName name="QF_SYS_DECIMAL_FORMAT">#REF!</definedName>
    <definedName name="QF_SYS_DESTINATION1" localSheetId="0">#REF!</definedName>
    <definedName name="QF_SYS_DESTINATION1">#REF!</definedName>
    <definedName name="QF_SYS_DISPLAY_DECIMAL" localSheetId="0">#REF!</definedName>
    <definedName name="QF_SYS_DISPLAY_DECIMAL">#REF!</definedName>
    <definedName name="QF_SYS_ERATE" localSheetId="0">#REF!</definedName>
    <definedName name="QF_SYS_ERATE">#REF!</definedName>
    <definedName name="QF_SYS_EUROPRICE" localSheetId="0">#REF!</definedName>
    <definedName name="QF_SYS_EUROPRICE">#REF!</definedName>
    <definedName name="QF_SYS_LISTPRICECURRENCY" localSheetId="0">#REF!</definedName>
    <definedName name="QF_SYS_LISTPRICECURRENCY">#REF!</definedName>
    <definedName name="QF_SYS_LISTPRICECURRENCY_CURRENCY" localSheetId="0">#REF!</definedName>
    <definedName name="QF_SYS_LISTPRICECURRENCY_CURRENCY">#REF!</definedName>
    <definedName name="QF_SYS_LISTPRICECURRENCY_CUSTOM" localSheetId="0">#REF!</definedName>
    <definedName name="QF_SYS_LISTPRICECURRENCY_CUSTOM">#REF!</definedName>
    <definedName name="QF_SYS_NOT_TRADE_DESC1" localSheetId="0">#REF!</definedName>
    <definedName name="QF_SYS_NOT_TRADE_DESC1">#REF!</definedName>
    <definedName name="QF_SYS_OPERATOR" localSheetId="0">#REF!</definedName>
    <definedName name="QF_SYS_OPERATOR">#REF!</definedName>
    <definedName name="QF_SYS_PCOE" localSheetId="0">#REF!</definedName>
    <definedName name="QF_SYS_PCOE">#REF!</definedName>
    <definedName name="QF_SYS_PRODUCT_LINE" localSheetId="0">#REF!</definedName>
    <definedName name="QF_SYS_PRODUCT_LINE">#REF!</definedName>
    <definedName name="QF_SYS_PROJNAME" localSheetId="0">#REF!</definedName>
    <definedName name="QF_SYS_PROJNAME">#REF!</definedName>
    <definedName name="QF_SYS_QUOTATION_NAME" localSheetId="0">#REF!</definedName>
    <definedName name="QF_SYS_QUOTATION_NAME">#REF!</definedName>
    <definedName name="QF_SYS_QUOTATION_NO" localSheetId="0">#REF!</definedName>
    <definedName name="QF_SYS_QUOTATION_NO">#REF!</definedName>
    <definedName name="QF_SYS_QUOTATION_PONUMBER" localSheetId="0">#REF!</definedName>
    <definedName name="QF_SYS_QUOTATION_PONUMBER">#REF!</definedName>
    <definedName name="QF_SYS_RRATE" localSheetId="0">#REF!</definedName>
    <definedName name="QF_SYS_RRATE">#REF!</definedName>
    <definedName name="QF_SYS_SCOE" localSheetId="0">#REF!</definedName>
    <definedName name="QF_SYS_SCOE">#REF!</definedName>
    <definedName name="QF_SYS_SECURITY_FLAG" localSheetId="0">#REF!</definedName>
    <definedName name="QF_SYS_SECURITY_FLAG">#REF!</definedName>
    <definedName name="QF_SYS_SERVICE_ONLY" localSheetId="0">#REF!</definedName>
    <definedName name="QF_SYS_SERVICE_ONLY">#REF!</definedName>
    <definedName name="QF_SYS_SHIPPING1" localSheetId="0">#REF!</definedName>
    <definedName name="QF_SYS_SHIPPING1">#REF!</definedName>
    <definedName name="QF_SYS_TRADE_DESC1" localSheetId="0">#REF!</definedName>
    <definedName name="QF_SYS_TRADE_DESC1">#REF!</definedName>
    <definedName name="QF_SYS_TRADETERM1" localSheetId="0">#REF!</definedName>
    <definedName name="QF_SYS_TRADETERM1">#REF!</definedName>
    <definedName name="QF_SYS_TRADETERMDESC1" localSheetId="0">#REF!</definedName>
    <definedName name="QF_SYS_TRADETERMDESC1">#REF!</definedName>
    <definedName name="QF_SYS_VALIDITY_DATE" localSheetId="0">#REF!</definedName>
    <definedName name="QF_SYS_VALIDITY_DATE">#REF!</definedName>
    <definedName name="QuoteType" localSheetId="0">#REF!</definedName>
    <definedName name="QuoteType">#REF!</definedName>
    <definedName name="Reesumen" localSheetId="0">#REF!</definedName>
    <definedName name="Reesumen">#REF!</definedName>
    <definedName name="Replanteo" localSheetId="0">'[1]MATRIZ ABIERTA'!#REF!</definedName>
    <definedName name="Replanteo">'[1]MATRIZ ABIERTA'!#REF!</definedName>
    <definedName name="RESP" localSheetId="0">#REF!</definedName>
    <definedName name="RESP">#REF!</definedName>
    <definedName name="Resumen" localSheetId="0">#REF!</definedName>
    <definedName name="Resumen">#REF!</definedName>
    <definedName name="resumencito" localSheetId="0">#REF!</definedName>
    <definedName name="resumencito">#REF!</definedName>
    <definedName name="RG" localSheetId="0">#REF!</definedName>
    <definedName name="RG">#REF!</definedName>
    <definedName name="RGRG" localSheetId="0">#REF!</definedName>
    <definedName name="RGRG">#REF!</definedName>
    <definedName name="Risk1">[5]RRF!$E$8</definedName>
    <definedName name="Risk11">[5]RRF!$E$44</definedName>
    <definedName name="Risk2">[5]RRF!$E$12</definedName>
    <definedName name="Risk3">[5]RRF!$E$19</definedName>
    <definedName name="Risk4">[5]RRF!$E$26</definedName>
    <definedName name="Risk7">[5]RRF!$E$31</definedName>
    <definedName name="Risk8">[5]RRF!$E$35</definedName>
    <definedName name="Risk9">[5]RRF!$E$40</definedName>
    <definedName name="Rng_Aux" localSheetId="0">#REF!</definedName>
    <definedName name="Rng_Aux">#REF!</definedName>
    <definedName name="RR" localSheetId="0">#REF!</definedName>
    <definedName name="RR">#REF!</definedName>
    <definedName name="RRR" localSheetId="0">#REF!</definedName>
    <definedName name="RRR">#REF!</definedName>
    <definedName name="rtyu" localSheetId="0">#REF!</definedName>
    <definedName name="rtyu">#REF!</definedName>
    <definedName name="s" localSheetId="0">#REF!</definedName>
    <definedName name="s">#REF!</definedName>
    <definedName name="S2L" localSheetId="0">#REF!</definedName>
    <definedName name="S2L">#REF!</definedName>
    <definedName name="sd" localSheetId="0">#REF!</definedName>
    <definedName name="sd">#REF!</definedName>
    <definedName name="sdf" localSheetId="0">#REF!</definedName>
    <definedName name="sdf">#REF!</definedName>
    <definedName name="seg" localSheetId="0">#REF!</definedName>
    <definedName name="seg">#REF!</definedName>
    <definedName name="SFGH" localSheetId="0">#REF!</definedName>
    <definedName name="SFGH">#REF!</definedName>
    <definedName name="SG" localSheetId="0">#REF!</definedName>
    <definedName name="SG">#REF!</definedName>
    <definedName name="Sheet1" localSheetId="0">#REF!</definedName>
    <definedName name="Sheet1">#REF!</definedName>
    <definedName name="sheet11" localSheetId="0">#REF!</definedName>
    <definedName name="sheet11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T" localSheetId="0">#REF!</definedName>
    <definedName name="SHT">#REF!</definedName>
    <definedName name="SI" localSheetId="0">#REF!</definedName>
    <definedName name="SI">#REF!</definedName>
    <definedName name="sinchook" localSheetId="0">#REF!</definedName>
    <definedName name="sinchook">#REF!</definedName>
    <definedName name="SK" localSheetId="0">#REF!</definedName>
    <definedName name="SK">#REF!</definedName>
    <definedName name="SKE" localSheetId="0">#REF!</definedName>
    <definedName name="SKE">#REF!</definedName>
    <definedName name="SS" localSheetId="0">#REF!</definedName>
    <definedName name="SS">#REF!</definedName>
    <definedName name="st" localSheetId="0">#REF!</definedName>
    <definedName name="st">#REF!</definedName>
    <definedName name="SUPERVISORES" localSheetId="0">'[1]MATRIZ ABIERTA'!#REF!</definedName>
    <definedName name="SUPERVISORES">'[1]MATRIZ ABIERTA'!#REF!</definedName>
    <definedName name="SVSV" localSheetId="0">#REF!</definedName>
    <definedName name="SVSV">#REF!</definedName>
    <definedName name="SWL" localSheetId="0">#REF!</definedName>
    <definedName name="SWL">#REF!</definedName>
    <definedName name="SWR" localSheetId="0">#REF!</definedName>
    <definedName name="SWR">#REF!</definedName>
    <definedName name="T" localSheetId="0">#REF!</definedName>
    <definedName name="T">#REF!</definedName>
    <definedName name="T1S" localSheetId="0">#REF!</definedName>
    <definedName name="T1S">#REF!</definedName>
    <definedName name="T2S" localSheetId="0">#REF!</definedName>
    <definedName name="T2S">#REF!</definedName>
    <definedName name="T3S" localSheetId="0">#REF!</definedName>
    <definedName name="T3S">#REF!</definedName>
    <definedName name="Tabla_asignación" localSheetId="0">#REF!</definedName>
    <definedName name="Tabla_asignación">#REF!</definedName>
    <definedName name="Tabla_Recursos" localSheetId="0">#REF!</definedName>
    <definedName name="Tabla_Recursos">#REF!</definedName>
    <definedName name="TERR" localSheetId="0">#REF!</definedName>
    <definedName name="TERR">#REF!</definedName>
    <definedName name="TMO" localSheetId="0">#REF!</definedName>
    <definedName name="TMO">#REF!</definedName>
    <definedName name="TRADE_TERM" localSheetId="0">#REF!</definedName>
    <definedName name="TRADE_TERM">#REF!</definedName>
    <definedName name="transp" localSheetId="0">#REF!</definedName>
    <definedName name="transp">#REF!</definedName>
    <definedName name="transporte_des" localSheetId="0">#REF!</definedName>
    <definedName name="transporte_des">#REF!</definedName>
    <definedName name="TRAS" localSheetId="0">#REF!</definedName>
    <definedName name="TRAS">#REF!</definedName>
    <definedName name="TTT" localSheetId="0">#REF!</definedName>
    <definedName name="TTT">#REF!</definedName>
    <definedName name="TW" localSheetId="0">#REF!</definedName>
    <definedName name="TW">#REF!</definedName>
    <definedName name="TWL" localSheetId="0">#REF!</definedName>
    <definedName name="TWL">#REF!</definedName>
    <definedName name="TWR" localSheetId="0">#REF!</definedName>
    <definedName name="TWR">#REF!</definedName>
    <definedName name="Typeofrisk1">[5]RRF!$D$8</definedName>
    <definedName name="Typeofrisk11">[5]RRF!$D$44</definedName>
    <definedName name="Typeofrisk2">[5]RRF!$D$12</definedName>
    <definedName name="Typeofrisk3">[5]RRF!$D$19</definedName>
    <definedName name="Typeofrisk4">[5]RRF!$D$26</definedName>
    <definedName name="Typeofrisk7">[5]RRF!$D$31</definedName>
    <definedName name="Typeofrisk8">[5]RRF!$D$35</definedName>
    <definedName name="Typeofrisk9">[5]RRF!$D$40</definedName>
    <definedName name="U" localSheetId="0">#REF!</definedName>
    <definedName name="U">#REF!</definedName>
    <definedName name="U형" localSheetId="0">#REF!</definedName>
    <definedName name="U형">#REF!</definedName>
    <definedName name="U형측구이음" localSheetId="0">#REF!</definedName>
    <definedName name="U형측구이음">#REF!</definedName>
    <definedName name="u형측구이음수량1" localSheetId="0">#REF!</definedName>
    <definedName name="u형측구이음수량1">#REF!</definedName>
    <definedName name="V" localSheetId="0">#REF!</definedName>
    <definedName name="V">#REF!</definedName>
    <definedName name="Vallado_de_obra" localSheetId="0">'[1]MATRIZ ABIERTA'!#REF!</definedName>
    <definedName name="Vallado_de_obra">'[1]MATRIZ ABIERTA'!#REF!</definedName>
    <definedName name="Value1">[5]MER!$I$15</definedName>
    <definedName name="Value11">[5]MER!$I$25</definedName>
    <definedName name="Value2">[5]MER!$I$16</definedName>
    <definedName name="Value3">[5]MER!$I$17</definedName>
    <definedName name="Value4">[5]MER!$I$18</definedName>
    <definedName name="Value7">[5]MER!$I$21</definedName>
    <definedName name="Value8">[5]MER!$I$22</definedName>
    <definedName name="Value9">[5]MER!$I$23</definedName>
    <definedName name="VSVS" localSheetId="0">#REF!</definedName>
    <definedName name="VSVS">#REF!</definedName>
    <definedName name="WA" localSheetId="0">#REF!</definedName>
    <definedName name="WA">#REF!</definedName>
    <definedName name="wer" localSheetId="0">#REF!</definedName>
    <definedName name="wer">#REF!</definedName>
    <definedName name="wert" localSheetId="0">#REF!</definedName>
    <definedName name="wert">#REF!</definedName>
    <definedName name="wes" localSheetId="0">#REF!</definedName>
    <definedName name="wes">#REF!</definedName>
    <definedName name="WL" localSheetId="0">#REF!</definedName>
    <definedName name="WL">#REF!</definedName>
    <definedName name="WN" localSheetId="0">#REF!</definedName>
    <definedName name="WN">#REF!</definedName>
    <definedName name="WQW" localSheetId="0">#REF!</definedName>
    <definedName name="WQW">#REF!</definedName>
    <definedName name="wrn.CONTRATISTAS._.MAYO." localSheetId="0">#REF!</definedName>
    <definedName name="wrn.CONTRATISTAS._.MAYO.">#REF!</definedName>
    <definedName name="wrn.Respaldos._.Certificado._.08._.Marzo." localSheetId="0">#REF!</definedName>
    <definedName name="wrn.Respaldos._.Certificado._.08._.Marzo.">#REF!</definedName>
    <definedName name="wrn.Respaldos._.Certificado._.12._.Julio." localSheetId="0">#REF!</definedName>
    <definedName name="wrn.Respaldos._.Certificado._.12._.Julio.">#REF!</definedName>
    <definedName name="wrn.교대구조계산." localSheetId="0">#REF!</definedName>
    <definedName name="wrn.교대구조계산.">#REF!</definedName>
    <definedName name="WSO" localSheetId="0">#REF!</definedName>
    <definedName name="WSO">#REF!</definedName>
    <definedName name="WW" localSheetId="0">#REF!</definedName>
    <definedName name="WW">#REF!</definedName>
    <definedName name="yen" localSheetId="0">#REF!</definedName>
    <definedName name="yen">#REF!</definedName>
    <definedName name="yyyy" localSheetId="0">#REF!</definedName>
    <definedName name="yyyy">#REF!</definedName>
    <definedName name="갈구3" localSheetId="0">#REF!</definedName>
    <definedName name="갈구3">#REF!</definedName>
    <definedName name="갈매기" localSheetId="0">#REF!</definedName>
    <definedName name="갈매기">#REF!</definedName>
    <definedName name="공사명" localSheetId="0">#REF!</definedName>
    <definedName name="공사명">#REF!</definedName>
    <definedName name="공사비" localSheetId="0">#REF!</definedName>
    <definedName name="공사비">#REF!</definedName>
    <definedName name="교하간지" localSheetId="0">#REF!</definedName>
    <definedName name="교하간지">#REF!</definedName>
    <definedName name="교하리" localSheetId="0">#REF!</definedName>
    <definedName name="교하리">#REF!</definedName>
    <definedName name="금승리" localSheetId="0">#REF!</definedName>
    <definedName name="금승리">#REF!</definedName>
    <definedName name="금촌동" localSheetId="0">#REF!</definedName>
    <definedName name="금촌동">#REF!</definedName>
    <definedName name="ㄴㄹㄴㄹ" localSheetId="0">#REF!</definedName>
    <definedName name="ㄴㄹㄴㄹ">#REF!</definedName>
    <definedName name="남본도시8" localSheetId="0">#REF!</definedName>
    <definedName name="남본도시8">#REF!</definedName>
    <definedName name="내역서수량" localSheetId="0">#REF!</definedName>
    <definedName name="내역서수량">#REF!</definedName>
    <definedName name="농지개량시설부지편입조서" localSheetId="0">#REF!</definedName>
    <definedName name="농지개량시설부지편입조서">#REF!</definedName>
    <definedName name="농지시설간지" localSheetId="0">#REF!</definedName>
    <definedName name="농지시설간지">#REF!</definedName>
    <definedName name="ㄷㅅ" localSheetId="0">#REF!</definedName>
    <definedName name="ㄷㅅ">#REF!</definedName>
    <definedName name="ㄷㅎ" localSheetId="0">#REF!</definedName>
    <definedName name="ㄷㅎ">#REF!</definedName>
    <definedName name="당하간지" localSheetId="0">#REF!</definedName>
    <definedName name="당하간지">#REF!</definedName>
    <definedName name="당하리" localSheetId="0">#REF!</definedName>
    <definedName name="당하리">#REF!</definedName>
    <definedName name="더" localSheetId="0">#REF!</definedName>
    <definedName name="더">#REF!</definedName>
    <definedName name="덕율2" localSheetId="0">#REF!</definedName>
    <definedName name="덕율2">#REF!</definedName>
    <definedName name="도" localSheetId="0">#REF!</definedName>
    <definedName name="도">#REF!</definedName>
    <definedName name="도면간지" localSheetId="0">#REF!</definedName>
    <definedName name="도면간지">#REF!</definedName>
    <definedName name="ㄹㄷ" localSheetId="0">#REF!</definedName>
    <definedName name="ㄹㄷ">#REF!</definedName>
    <definedName name="ㄹㄹ" localSheetId="0">#REF!</definedName>
    <definedName name="ㄹㄹ">#REF!</definedName>
    <definedName name="ㄹㄹㄹ" localSheetId="0">#REF!</definedName>
    <definedName name="ㄹㄹㄹ">#REF!</definedName>
    <definedName name="ㄹㄹㄹㄹㄹ" localSheetId="0">#REF!</definedName>
    <definedName name="ㄹㄹㄹㄹㄹ">#REF!</definedName>
    <definedName name="ㄹㄹㄹㄹㄹㄹ" localSheetId="0">#REF!</definedName>
    <definedName name="ㄹㄹㄹㄹㄹㄹ">#REF!</definedName>
    <definedName name="ㅁㅁㅁ" localSheetId="0">#REF!</definedName>
    <definedName name="ㅁㅁㅁ">#REF!</definedName>
    <definedName name="ㅁㅁㅁㅁ" localSheetId="0">#REF!</definedName>
    <definedName name="ㅁㅁㅁㅁ">#REF!</definedName>
    <definedName name="문지간지" localSheetId="0">#REF!</definedName>
    <definedName name="문지간지">#REF!</definedName>
    <definedName name="문지리" localSheetId="0">#REF!</definedName>
    <definedName name="문지리">#REF!</definedName>
    <definedName name="ㅂㄷ" localSheetId="0">#REF!</definedName>
    <definedName name="ㅂㄷ">#REF!</definedName>
    <definedName name="ㅂㄹ" localSheetId="0">#REF!</definedName>
    <definedName name="ㅂㄹ">#REF!</definedName>
    <definedName name="ㅂㅂㅂ" localSheetId="0">#REF!</definedName>
    <definedName name="ㅂㅂㅂ">#REF!</definedName>
    <definedName name="ㅂㅂㅂㅂ" localSheetId="0">#REF!</definedName>
    <definedName name="ㅂㅂㅂㅂ">#REF!</definedName>
    <definedName name="ㅂㅂㅂㅂㅂ" localSheetId="0">#REF!</definedName>
    <definedName name="ㅂㅂㅂㅂㅂ">#REF!</definedName>
    <definedName name="ㅂㅍ" localSheetId="0">#REF!</definedName>
    <definedName name="ㅂㅍ">#REF!</definedName>
    <definedName name="ㅂㅎ" localSheetId="0">#REF!</definedName>
    <definedName name="ㅂㅎ">#REF!</definedName>
    <definedName name="박" localSheetId="0">#REF!</definedName>
    <definedName name="박">#REF!</definedName>
    <definedName name="번호" localSheetId="0">#REF!</definedName>
    <definedName name="번호">#REF!</definedName>
    <definedName name="부곡리" localSheetId="0">#REF!</definedName>
    <definedName name="부곡리">#REF!</definedName>
    <definedName name="비목1" localSheetId="0">#REF!</definedName>
    <definedName name="비목1">#REF!</definedName>
    <definedName name="비목2" localSheetId="0">#REF!</definedName>
    <definedName name="비목2">#REF!</definedName>
    <definedName name="비목3" localSheetId="0">#REF!</definedName>
    <definedName name="비목3">#REF!</definedName>
    <definedName name="비목4" localSheetId="0">#REF!</definedName>
    <definedName name="비목4">#REF!</definedName>
    <definedName name="ㅄ" localSheetId="0">#REF!</definedName>
    <definedName name="ㅄ">#REF!</definedName>
    <definedName name="ㅅㄷㄴㅅ" localSheetId="0">#REF!</definedName>
    <definedName name="ㅅㄷㄴㅅ">#REF!</definedName>
    <definedName name="사업계획서" localSheetId="0">#REF!</definedName>
    <definedName name="사업계획서">#REF!</definedName>
    <definedName name="ㅇㅀㄴ" localSheetId="0">#REF!</definedName>
    <definedName name="ㅇㅀㄴ">#REF!</definedName>
    <definedName name="ㅇㅇㄹ" localSheetId="0">#REF!</definedName>
    <definedName name="ㅇㅇㄹ">#REF!</definedName>
    <definedName name="연풍리" localSheetId="0">#REF!</definedName>
    <definedName name="연풍리">#REF!</definedName>
    <definedName name="오의재" localSheetId="0">#REF!</definedName>
    <definedName name="오의재">#REF!</definedName>
    <definedName name="우계4" localSheetId="0">#REF!</definedName>
    <definedName name="우계4">#REF!</definedName>
    <definedName name="위치도" localSheetId="0">#REF!</definedName>
    <definedName name="위치도">#REF!</definedName>
    <definedName name="이름" localSheetId="0">#REF!</definedName>
    <definedName name="이름">#REF!</definedName>
    <definedName name="이음" localSheetId="0">#REF!</definedName>
    <definedName name="이음">#REF!</definedName>
    <definedName name="이음부" localSheetId="0">#REF!</definedName>
    <definedName name="이음부">#REF!</definedName>
    <definedName name="지목" localSheetId="0">#REF!</definedName>
    <definedName name="지목">#REF!</definedName>
    <definedName name="지번" localSheetId="0">#REF!</definedName>
    <definedName name="지번">#REF!</definedName>
    <definedName name="지적" localSheetId="0">#REF!</definedName>
    <definedName name="지적">#REF!</definedName>
    <definedName name="진흥지역밖조서" localSheetId="0">#REF!</definedName>
    <definedName name="진흥지역밖조서">#REF!</definedName>
    <definedName name="진흥지역조서" localSheetId="0">#REF!</definedName>
    <definedName name="진흥지역조서">#REF!</definedName>
    <definedName name="청복7" localSheetId="0">#REF!</definedName>
    <definedName name="청복7">#REF!</definedName>
    <definedName name="청복도시9" localSheetId="0">#REF!</definedName>
    <definedName name="청복도시9">#REF!</definedName>
    <definedName name="초급엔지니어링" localSheetId="0">#REF!</definedName>
    <definedName name="초급엔지니어링">#REF!</definedName>
    <definedName name="축현간지" localSheetId="0">#REF!</definedName>
    <definedName name="축현간지">#REF!</definedName>
    <definedName name="축현리" localSheetId="0">#REF!</definedName>
    <definedName name="축현리">#REF!</definedName>
    <definedName name="토지조서간지" localSheetId="0">#REF!</definedName>
    <definedName name="토지조서간지">#REF!</definedName>
    <definedName name="통명5" localSheetId="0">#REF!</definedName>
    <definedName name="통명5">#REF!</definedName>
    <definedName name="ㅍㅍㄹ" localSheetId="0">#REF!</definedName>
    <definedName name="ㅍㅍㄹ">#REF!</definedName>
    <definedName name="ㅍㅍㅍ" localSheetId="0">#REF!</definedName>
    <definedName name="ㅍㅍㅍ">#REF!</definedName>
    <definedName name="파주리" localSheetId="0">#REF!</definedName>
    <definedName name="파주리">#REF!</definedName>
    <definedName name="편입" localSheetId="0">#REF!</definedName>
    <definedName name="편입">#REF!</definedName>
    <definedName name="편입토지조서" localSheetId="0">#REF!</definedName>
    <definedName name="편입토지조서">#REF!</definedName>
    <definedName name="포리1" localSheetId="0">#REF!</definedName>
    <definedName name="포리1">#REF!</definedName>
    <definedName name="폭" localSheetId="0">#REF!</definedName>
    <definedName name="폭">#REF!</definedName>
    <definedName name="표지1" localSheetId="0">#REF!</definedName>
    <definedName name="표지1">#REF!</definedName>
    <definedName name="필지별편입조서" localSheetId="0">#REF!</definedName>
    <definedName name="필지별편입조서">#REF!</definedName>
    <definedName name="ㅎㅀㄹ" localSheetId="0">#REF!</definedName>
    <definedName name="ㅎㅀㄹ">#REF!</definedName>
    <definedName name="호" localSheetId="0">#REF!</definedName>
    <definedName name="호">#REF!</definedName>
    <definedName name="호ㅎ" localSheetId="0">#REF!</definedName>
    <definedName name="호ㅎ">#REF!</definedName>
    <definedName name="환율" localSheetId="0">#REF!</definedName>
    <definedName name="환율">#REF!</definedName>
    <definedName name="ㅔ" localSheetId="0">#REF!</definedName>
    <definedName name="ㅔ">#REF!</definedName>
    <definedName name="ㅔㅔㅔ" localSheetId="0">#REF!</definedName>
    <definedName name="ㅔㅔㅔ">#REF!</definedName>
    <definedName name="ㅗㅗㅗ" localSheetId="0">#REF!</definedName>
    <definedName name="ㅗㅗㅗ">#REF!</definedName>
    <definedName name="ㅠㅍ" localSheetId="0">#REF!</definedName>
    <definedName name="ㅠ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1" l="1"/>
  <c r="E5" i="1"/>
  <c r="F6" i="1"/>
  <c r="F7" i="1"/>
  <c r="F8" i="1"/>
  <c r="F9" i="1"/>
  <c r="F10" i="1"/>
  <c r="D11" i="1"/>
  <c r="E11" i="1"/>
  <c r="F12" i="1"/>
  <c r="F13" i="1"/>
  <c r="F14" i="1"/>
  <c r="F15" i="1"/>
  <c r="D17" i="1"/>
  <c r="D16" i="1" s="1"/>
  <c r="E17" i="1"/>
  <c r="E16" i="1" s="1"/>
  <c r="F18" i="1"/>
  <c r="F19" i="1"/>
  <c r="F20" i="1"/>
  <c r="F21" i="1"/>
  <c r="F22" i="1"/>
  <c r="D23" i="1"/>
  <c r="E23" i="1"/>
  <c r="F24" i="1"/>
  <c r="F25" i="1"/>
  <c r="F26" i="1"/>
  <c r="F27" i="1"/>
  <c r="D30" i="1"/>
  <c r="E30" i="1"/>
  <c r="F31" i="1"/>
  <c r="F32" i="1"/>
  <c r="D33" i="1"/>
  <c r="E33" i="1"/>
  <c r="F34" i="1"/>
  <c r="F35" i="1"/>
  <c r="D36" i="1"/>
  <c r="E36" i="1"/>
  <c r="F37" i="1"/>
  <c r="F38" i="1"/>
  <c r="D40" i="1"/>
  <c r="D39" i="1" s="1"/>
  <c r="E40" i="1"/>
  <c r="E39" i="1" s="1"/>
  <c r="F39" i="1" s="1"/>
  <c r="F41" i="1"/>
  <c r="F42" i="1"/>
  <c r="F43" i="1"/>
  <c r="F44" i="1"/>
  <c r="D46" i="1"/>
  <c r="F47" i="1"/>
  <c r="E48" i="1"/>
  <c r="F49" i="1"/>
  <c r="F50" i="1"/>
  <c r="F51" i="1"/>
  <c r="F52" i="1"/>
  <c r="D53" i="1"/>
  <c r="E53" i="1"/>
  <c r="F54" i="1"/>
  <c r="F55" i="1"/>
  <c r="F56" i="1"/>
  <c r="D58" i="1"/>
  <c r="D57" i="1" s="1"/>
  <c r="E58" i="1"/>
  <c r="F59" i="1"/>
  <c r="D62" i="1"/>
  <c r="D61" i="1" s="1"/>
  <c r="D60" i="1" s="1"/>
  <c r="E62" i="1"/>
  <c r="E61" i="1" s="1"/>
  <c r="E60" i="1" s="1"/>
  <c r="F62" i="1"/>
  <c r="F63" i="1"/>
  <c r="F64" i="1"/>
  <c r="F65" i="1"/>
  <c r="F66" i="1"/>
  <c r="F67" i="1"/>
  <c r="F68" i="1"/>
  <c r="F69" i="1"/>
  <c r="F33" i="1" l="1"/>
  <c r="D29" i="1"/>
  <c r="F40" i="1"/>
  <c r="D4" i="1"/>
  <c r="D3" i="1" s="1"/>
  <c r="E4" i="1"/>
  <c r="E3" i="1" s="1"/>
  <c r="F5" i="1"/>
  <c r="F11" i="1"/>
  <c r="F23" i="1"/>
  <c r="E29" i="1"/>
  <c r="F30" i="1"/>
  <c r="F36" i="1"/>
  <c r="D45" i="1"/>
  <c r="D28" i="1" s="1"/>
  <c r="F17" i="1"/>
  <c r="F16" i="1" s="1"/>
  <c r="F53" i="1"/>
  <c r="F61" i="1"/>
  <c r="F60" i="1" s="1"/>
  <c r="F48" i="1"/>
  <c r="F46" i="1" s="1"/>
  <c r="F45" i="1" s="1"/>
  <c r="E46" i="1"/>
  <c r="E45" i="1" s="1"/>
  <c r="E28" i="1" s="1"/>
  <c r="F58" i="1"/>
  <c r="E57" i="1"/>
  <c r="F57" i="1" s="1"/>
  <c r="F29" i="1"/>
  <c r="F28" i="1" s="1"/>
  <c r="D70" i="1" l="1"/>
  <c r="D72" i="1" s="1"/>
  <c r="E70" i="1"/>
  <c r="F4" i="1"/>
  <c r="F3" i="1"/>
  <c r="F70" i="1" l="1"/>
  <c r="E72" i="1"/>
  <c r="F71" i="1" l="1"/>
  <c r="E71" i="1"/>
  <c r="D71" i="1"/>
</calcChain>
</file>

<file path=xl/sharedStrings.xml><?xml version="1.0" encoding="utf-8"?>
<sst xmlns="http://schemas.openxmlformats.org/spreadsheetml/2006/main" count="109" uniqueCount="83">
  <si>
    <t>% del porcion Banco Mundial</t>
  </si>
  <si>
    <t>% del total del proyecto</t>
  </si>
  <si>
    <t>Total</t>
  </si>
  <si>
    <t>4.1.8.Comision (Front-end Fee)</t>
  </si>
  <si>
    <t>4.1.7.Estudios del sistema educativo y encuestas de satisfacción ciudadana</t>
  </si>
  <si>
    <t>Transferencias</t>
  </si>
  <si>
    <t xml:space="preserve">4.1.6.Gastos operativos </t>
  </si>
  <si>
    <t>4.1.5.Comunicación</t>
  </si>
  <si>
    <t>bienes /servicio no consultoría</t>
  </si>
  <si>
    <t>4.1.4.Auditoría externa</t>
  </si>
  <si>
    <t>Servicio de consultoría</t>
  </si>
  <si>
    <t>4.1.3.Adquisición de vehículos</t>
  </si>
  <si>
    <t>bienes</t>
  </si>
  <si>
    <t>4.1.2.Adquisiciones de equipos</t>
  </si>
  <si>
    <t>4.1.1.Contratación personal</t>
  </si>
  <si>
    <t>Consultoría Individuales</t>
  </si>
  <si>
    <t>4.1.Gestión y monitoreo</t>
  </si>
  <si>
    <t>Componente 4: Gestión y monitoreo del proyecto</t>
  </si>
  <si>
    <t>3.1.1 Contingente para respuesta a emergencias del Proyecto</t>
  </si>
  <si>
    <t>3.1 Contingente para respuesta a emergencias</t>
  </si>
  <si>
    <t>Componente 3: Componente de apoyo contingente para respuesta a emergencias</t>
  </si>
  <si>
    <t>2.3.2.3. Fortalecimiento de la capacidad para evaluación de aprendizaje</t>
  </si>
  <si>
    <t>2.3.2.2. Fortalecimiento de la capacidad para evaluación de aprendizaje e Institucional</t>
  </si>
  <si>
    <t>2.3.2.1. Revisión de procedimientos para implementación de pruebas</t>
  </si>
  <si>
    <t>2.3.2. Unidad institucional de evaluación educativa fortalecida</t>
  </si>
  <si>
    <t>2.3.1.2.4 Gastos operativos ERCE/PISA/SNEPE</t>
  </si>
  <si>
    <t>2.3.1.2.3 Membresía ERCE/PISA</t>
  </si>
  <si>
    <t>2.3.1.2.2 Impresiones ERCE/PISA/SNEPE</t>
  </si>
  <si>
    <t>2.3.1.2.1 Consultoría ERCE/PISA/SNEPE</t>
  </si>
  <si>
    <t>2.3.1.2. Implementación de pruebas de evaluación estandarizada de gran escala (ERCE, PISA,SNEPE)</t>
  </si>
  <si>
    <t>servicio no consultoría</t>
  </si>
  <si>
    <t>2.3.1.1. Evaluación a instituciones</t>
  </si>
  <si>
    <t>2.3.1. Pruebas estandarizadas de evaluación de aprendizaje aplicadas a escala</t>
  </si>
  <si>
    <t xml:space="preserve">2.3 Evaluación educativa y gestión institucional </t>
  </si>
  <si>
    <t>2.2.1.4. Plan estratégico de largo plazo de los IFD/CEFED</t>
  </si>
  <si>
    <t>2.2.1.3. Elaboración del Plan de transición que contemple todas las dimensiones de la transición</t>
  </si>
  <si>
    <t>2.2.1.2. Modelo de gobernanza de CEFED</t>
  </si>
  <si>
    <t>2.2.1.1. Elaboración del currículo de los CEFED adaptados a su oferta formativa especializada en las áreas</t>
  </si>
  <si>
    <t>2.2.1 Reconversión de IFD a CEFED</t>
  </si>
  <si>
    <t>2.2 Proceso de reconversión de los IFD a CEFED</t>
  </si>
  <si>
    <t>2.1.3.2. Impresión y diseminación de la estrategia nacional</t>
  </si>
  <si>
    <t>Servicio no consultoría</t>
  </si>
  <si>
    <t>2.1.3.1. Elaboración de la estrategia nacional</t>
  </si>
  <si>
    <t>2.1.3 Estrategia nacional para la mejora integral de la infraestructura educativa</t>
  </si>
  <si>
    <t>2.1.2.2. Impresión y diseminación de marco de política</t>
  </si>
  <si>
    <t>2.1.2.1. Elaboración de marco de política de gestión de infraestructura</t>
  </si>
  <si>
    <t>2.1.2 Marco de política de gestión de infraestructura</t>
  </si>
  <si>
    <t>2.1.1.2. Sistematización de inventario en el mapa educativo nacional en el módulo de Sistema de Gestión de Infraestructura</t>
  </si>
  <si>
    <t>2.1.1.1. Relevamiento de inventario de infraestructura, mobiliario y equipamiento existente en establecimientos escolares</t>
  </si>
  <si>
    <t>2.1.1 Mapa Educativo Nacional (MEN)</t>
  </si>
  <si>
    <t xml:space="preserve"> 2.1. Gestión de la infraestructura educativa basada en herramientas y un nuevo marco regulatorio</t>
  </si>
  <si>
    <t>Componente 2: Fortalecimiento institucional en áreas prioritarias</t>
  </si>
  <si>
    <t>1.1.2.4. Combustible para supervisión de obras</t>
  </si>
  <si>
    <t xml:space="preserve">1.1.2.3 Supervisión de proyectos </t>
  </si>
  <si>
    <t>1.1.2.2. Viáticos supervisión de proyecto/entrega de sitio</t>
  </si>
  <si>
    <t>1.1.2.1. Adquisición de muebles y equipos (6 CEFED)</t>
  </si>
  <si>
    <t>1.2.2. Supervisión de proyectos MEC y Mobiliario escolar y equipamiento de aprendizaje (6 CEFED)</t>
  </si>
  <si>
    <t>1.2.1.5. Fiscalización 6 CEFED</t>
  </si>
  <si>
    <t>1.2.1.4. Combustible para supervisión de obras</t>
  </si>
  <si>
    <t xml:space="preserve">1.2.1.3. Supervisión de proyectos </t>
  </si>
  <si>
    <t>1.2.1.2. Viáticos supervisión de proyecto/entrega de sitio</t>
  </si>
  <si>
    <t>1.2.1.1 Construcción y reparación 6 CEFED</t>
  </si>
  <si>
    <t>1.2.1. Obras civiles 6 CEFED</t>
  </si>
  <si>
    <t>1.2. Apoyo a la conversión de IFD a CEFED</t>
  </si>
  <si>
    <t xml:space="preserve">1.1.2.3. Supervisión de proyectos </t>
  </si>
  <si>
    <t>obras menores</t>
  </si>
  <si>
    <t>1.1.2.1. Adquisición de muebles y equipos (1.000 LEAP y 16 CAI)</t>
  </si>
  <si>
    <t>1.1.2 Supervisión de proyectos MEC y Mobiliario escolar y equipamiento de aprendizaje (1.300 LEAP y 16 CAI)</t>
  </si>
  <si>
    <t xml:space="preserve">1.1.1.5. Fiscalización 300 LEAP y 16 CAI </t>
  </si>
  <si>
    <t>1.1.1.4. Combustible para supervisión de obras</t>
  </si>
  <si>
    <t xml:space="preserve">1.1.1.3. Supervisión de proyectos </t>
  </si>
  <si>
    <t>1.1.1.2. Viáticos supervisión de proyecto/entrega de sitio</t>
  </si>
  <si>
    <t>Obras mayores</t>
  </si>
  <si>
    <t xml:space="preserve">1.1.1.1. Construcción y reparación de obras en 300 LEAP y 16 CAI </t>
  </si>
  <si>
    <t>1.1.1 Obras civiles mayores para 300 Locales Escolares a Potenciar (LEAP) y 16 Centros de Apoyo a la Inclusión (CAI)</t>
  </si>
  <si>
    <t>1.1 Readecuación de las condiciones estructurales de la educación obligatoria e inclusiva</t>
  </si>
  <si>
    <t>Componente 1: Mejorar los entornos de aprendizaje para una educación de calidad</t>
  </si>
  <si>
    <t>TOTAL</t>
  </si>
  <si>
    <t>BIRF MEC
SNIP 1073</t>
  </si>
  <si>
    <t>BIRF MOPC
SNIP 1075</t>
  </si>
  <si>
    <t>Componente del Proyecto TAPE</t>
  </si>
  <si>
    <t>Categoría de Adquisiciones</t>
  </si>
  <si>
    <t>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</si>
</sst>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64" formatCode="_-[$$-409]* #,##0_ ;_-[$$-409]* \-#,##0\ ;_-[$$-409]* &quot;-&quot;_ ;_-@_ "/>
    <numFmt numFmtId="165" formatCode="[$$-409]#,##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Times New Roman"/>
      <family val="1"/>
    </font>
    <font>
      <b/>
      <sz val="11"/>
      <color theme="0"/>
      <name val="Times New Roman"/>
      <family val="1"/>
    </font>
    <font>
      <b/>
      <sz val="9"/>
      <color theme="0"/>
      <name val="Times New Roman"/>
      <family val="1"/>
    </font>
    <font>
      <sz val="9"/>
      <color theme="0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41" fontId="4" fillId="2" borderId="1" xfId="0" applyNumberFormat="1" applyFont="1" applyFill="1" applyBorder="1" applyAlignment="1">
      <alignment horizontal="left" vertical="center" wrapText="1"/>
    </xf>
    <xf numFmtId="41" fontId="4" fillId="3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164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64" fontId="4" fillId="11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65" fontId="4" fillId="12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orcentaje 2" xfId="1" xr:uid="{F27934DC-2371-4596-8EE3-3AE73AA5F9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487D093\201016_272_Planilla%20unificada%20con%20requerimient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USUARIO\Desktop\PLANILLAS%20DE%20MONITOREO\FFEI\6%20EJECUCION%20APROBADOS\INFRA%20-%20LAURA%20LATORRE\Monitoreo%20Total%20de%20Obras\Tablas%20de%20Monitoreo%20con%20Dotacion%20de%20Espacios%2029%20octubr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2-MONITOREO%20%20SITUACION%20DE%20CONTRATOS%20(F)\00.%20PLANILLA%20DE%20MONITOREO%20EN%20CONSTRUCCI&#211;N\MONITOREO%2012-12-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cathy\Downloads\Tablas%20de%20Monitoreo%20Total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dbankgroup-my.sharepoint.com/Documents%20and%20Settings/TEODORON/Local%20Settings/Temporary%20Internet%20Files/Content.Outlook/K2JWR7MW/GRP%20EMP%202120OC-CO%20-%20SEP%202010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Local\Temp\Users\User\AppData\Local\Temp\Micro%20ajustes\Users\User\Downloads\para%20cargar%20micro%20itaugu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 ABIERTA"/>
      <sheetName val="AULA GENERAL SIMPLE"/>
      <sheetName val="AULA GENERAL DOBLE"/>
      <sheetName val="AULA GENERAL TRIPLE"/>
      <sheetName val="AULA SIMPLE SSHH"/>
      <sheetName val=" AULA DOBLE SSHH"/>
      <sheetName val="BIBLIOTECA"/>
      <sheetName val="LABORATORIO CIENCIAS"/>
      <sheetName val="LABORATORIO INFORMATICA"/>
      <sheetName val="ADMINISTRACION "/>
      <sheetName val="COCINA COMEDOR"/>
      <sheetName val="SSHH DIFERENCIADO E INCLUSIVO"/>
      <sheetName val="AULA DOBLE SSHH TECHO H°A°"/>
      <sheetName val="RESUMEN"/>
      <sheetName val="CONCEPCIÓN"/>
      <sheetName val="SAN PEDRO"/>
      <sheetName val="CORDILLERA"/>
      <sheetName val="GUAIRA"/>
      <sheetName val="CAAGUAZU"/>
      <sheetName val="CAAZAPA"/>
      <sheetName val="ITAPUA"/>
      <sheetName val="PARAGUARI"/>
      <sheetName val="ALTO PARANÁ"/>
      <sheetName val="AMAMBAY"/>
      <sheetName val="ÑEEMBUCÚ"/>
      <sheetName val="CANINDEYÚ"/>
      <sheetName val="PTE HAYES"/>
      <sheetName val="BOQUERÓN"/>
      <sheetName val="ALTO PARAGUAY"/>
      <sheetName val="MISIONES"/>
      <sheetName val="CENTRAL"/>
      <sheetName val="RESUMEN REQUERIMIEN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&lt;por proyecto"/>
      <sheetName val="676"/>
      <sheetName val="Monitoreo Total"/>
      <sheetName val="Dotacion 822"/>
      <sheetName val="Avance por Dotacion"/>
      <sheetName val="Base de Datos Prototipos "/>
      <sheetName val="Dotacion 85 y 465"/>
      <sheetName val="Monitoreo de proveedores y Obra"/>
      <sheetName val="Proveedores 676"/>
      <sheetName val="Obras en ejecución por departam"/>
      <sheetName val="Hoja7"/>
      <sheetName val="Tablas de Monitoreo con Dotacio"/>
    </sheetNames>
    <definedNames>
      <definedName name="Programacion_Dotacio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MONITOREO 12-12-2022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s de Monitoreo Total (1)"/>
      <sheetName val="Monitoreo Total"/>
      <sheetName val="Hoja1"/>
      <sheetName val="Dotacion 85 y 465"/>
      <sheetName val="DB_Por ALERTAS"/>
      <sheetName val="DB_Por Proyecto"/>
      <sheetName val="DB_Dotacion 822"/>
      <sheetName val="DB_Todas las licitaciones"/>
      <sheetName val="DB_676"/>
      <sheetName val="Inversión por departamento"/>
      <sheetName val="Alertas por Familia"/>
      <sheetName val="Plan de visitas Aleatorias"/>
      <sheetName val="Fiscalizacion"/>
      <sheetName val="Inversión por nivel educativo"/>
      <sheetName val="Inversion por licitación"/>
      <sheetName val="Desempeño constructoras"/>
      <sheetName val="Monitoreo de proveedores y Obra"/>
      <sheetName val="Base por proyecto"/>
      <sheetName val="Hoja4"/>
      <sheetName val="Obras en ejecución por departam"/>
      <sheetName val="Concluidas por Licitacion"/>
      <sheetName val="Concluidas por proyecto"/>
      <sheetName val="Base licitacion y codig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RF"/>
      <sheetName val="MER"/>
      <sheetName val="MMR"/>
      <sheetName val="Settings"/>
    </sheetNames>
    <sheetDataSet>
      <sheetData sheetId="0">
        <row r="8">
          <cell r="C8" t="str">
            <v>I</v>
          </cell>
          <cell r="D8" t="str">
            <v>Desarrollo</v>
          </cell>
          <cell r="E8" t="str">
            <v xml:space="preserve">Que la entidad se vea sometida a procesos judiciales y/o administrativos </v>
          </cell>
        </row>
        <row r="12">
          <cell r="C12" t="str">
            <v>I y II</v>
          </cell>
          <cell r="D12" t="str">
            <v>Desarrollo</v>
          </cell>
          <cell r="E12" t="str">
            <v>Sobrecostos de las obras</v>
          </cell>
        </row>
        <row r="19">
          <cell r="C19" t="str">
            <v>II</v>
          </cell>
          <cell r="D19" t="str">
            <v>Desarrollo</v>
          </cell>
          <cell r="E19" t="str">
            <v>Retrasos/ paro de ejecución del interceptor</v>
          </cell>
        </row>
        <row r="26">
          <cell r="C26" t="str">
            <v>I y II</v>
          </cell>
          <cell r="D26" t="str">
            <v>Fiduciarios</v>
          </cell>
          <cell r="E26" t="str">
            <v>Retrasos en las contrataciones /adquisiciones</v>
          </cell>
        </row>
        <row r="31">
          <cell r="C31" t="str">
            <v>I y II</v>
          </cell>
          <cell r="D31" t="str">
            <v>Ambientales y Sociales</v>
          </cell>
          <cell r="E31" t="str">
            <v>No se logren los objetivos de calidad del proyecto</v>
          </cell>
        </row>
        <row r="35">
          <cell r="C35" t="str">
            <v>I y II</v>
          </cell>
          <cell r="D35" t="str">
            <v>Ambientales y Sociales</v>
          </cell>
          <cell r="E35" t="str">
            <v>Impacto en el medio ambiente por problemas en el proceso de construcción</v>
          </cell>
        </row>
        <row r="40">
          <cell r="C40" t="str">
            <v>III</v>
          </cell>
          <cell r="D40" t="str">
            <v>Gobernabilidad</v>
          </cell>
          <cell r="E40" t="str">
            <v>Retraso en la implementación de la NIIF</v>
          </cell>
        </row>
        <row r="44">
          <cell r="C44" t="str">
            <v>I</v>
          </cell>
          <cell r="D44" t="str">
            <v>Desarrollo</v>
          </cell>
          <cell r="E44" t="str">
            <v>Retrasos/ paro de ejecución de la PTAR</v>
          </cell>
        </row>
      </sheetData>
      <sheetData sheetId="1">
        <row r="15">
          <cell r="I15">
            <v>2</v>
          </cell>
          <cell r="J15" t="str">
            <v>Medio</v>
          </cell>
        </row>
        <row r="16">
          <cell r="I16">
            <v>1</v>
          </cell>
          <cell r="J16" t="str">
            <v>Bajo</v>
          </cell>
        </row>
        <row r="17">
          <cell r="I17">
            <v>2</v>
          </cell>
          <cell r="J17" t="str">
            <v>Medio</v>
          </cell>
        </row>
        <row r="18">
          <cell r="I18">
            <v>2</v>
          </cell>
          <cell r="J18" t="str">
            <v>Medio</v>
          </cell>
        </row>
        <row r="21">
          <cell r="I21">
            <v>2</v>
          </cell>
          <cell r="J21" t="str">
            <v>Medio</v>
          </cell>
        </row>
        <row r="22">
          <cell r="I22">
            <v>2</v>
          </cell>
          <cell r="J22" t="str">
            <v>Medio</v>
          </cell>
        </row>
        <row r="23">
          <cell r="I23">
            <v>1</v>
          </cell>
          <cell r="J23" t="str">
            <v>Bajo</v>
          </cell>
        </row>
        <row r="25">
          <cell r="I25">
            <v>2</v>
          </cell>
          <cell r="J25" t="str">
            <v>Medio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. Rubros EI y EEB-pla1"/>
      <sheetName val="Req. Rubros Educ Permanent-pla2"/>
      <sheetName val="Req. Rubros EM-ETP-pla3"/>
      <sheetName val="Req. Rubros Educ INCLUSIVA-pla4"/>
      <sheetName val="Req. Rubros administ-pla5"/>
      <sheetName val="Reasig Rubros-pla6 ciegos"/>
      <sheetName val="Reasig Rubros-pla6"/>
      <sheetName val="Reasig. Rubros Administ-pla7"/>
      <sheetName val="Req.Apertura-pla8"/>
      <sheetName val="BASE DE DATOS"/>
      <sheetName val="P7"/>
      <sheetName val="P9"/>
      <sheetName val="P10"/>
      <sheetName val="P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65">
          <cell r="A165" t="str">
            <v>Nombre de la Institución+(Nivel)</v>
          </cell>
        </row>
        <row r="166">
          <cell r="A166" t="str">
            <v>5562 (14381) MI PASTORCITO (EEB)</v>
          </cell>
        </row>
        <row r="167">
          <cell r="A167" t="str">
            <v>5562 (14381) PRIV. MI PASTORCITO (EI)</v>
          </cell>
        </row>
        <row r="168">
          <cell r="A168" t="str">
            <v>DR. PEDRO P. PEÑA (EEB)</v>
          </cell>
        </row>
        <row r="169">
          <cell r="A169" t="str">
            <v>DR. PEDRO P. PEÑA (EM)</v>
          </cell>
        </row>
        <row r="170">
          <cell r="A170" t="str">
            <v>DR. PEDRO P. PEÑA (ET)</v>
          </cell>
        </row>
        <row r="171">
          <cell r="A171" t="str">
            <v>707 (EI)</v>
          </cell>
        </row>
        <row r="172">
          <cell r="A172" t="str">
            <v>707 (EEB)</v>
          </cell>
        </row>
        <row r="173">
          <cell r="A173" t="str">
            <v>707 (EE)</v>
          </cell>
        </row>
        <row r="174">
          <cell r="A174" t="str">
            <v>E.M.D. ITAUGUA (EEB)</v>
          </cell>
        </row>
        <row r="175">
          <cell r="A175" t="str">
            <v>E.M.D. ITAUGUA (EM)</v>
          </cell>
        </row>
        <row r="176">
          <cell r="A176" t="str">
            <v>E.M.D. ITAUGUA (ET)</v>
          </cell>
        </row>
        <row r="177">
          <cell r="A177" t="str">
            <v>CENTRO 11-51 (EJA)</v>
          </cell>
        </row>
        <row r="178">
          <cell r="A178" t="str">
            <v>246 MARIA CONCEPCION LEYES DE CHAVES (EI)</v>
          </cell>
        </row>
        <row r="179">
          <cell r="A179" t="str">
            <v>246 MARIA CONCEPCION LEYES DE CHAVES (EEB)</v>
          </cell>
        </row>
        <row r="180">
          <cell r="A180" t="str">
            <v>246 MARIA CONCEPCION LEYES DE CHAVES (EE)</v>
          </cell>
        </row>
        <row r="181">
          <cell r="A181" t="str">
            <v>NRO. 27 (EMDJA)</v>
          </cell>
        </row>
        <row r="182">
          <cell r="A182" t="str">
            <v>VIRGEN DEL ROSARIO (EEB)</v>
          </cell>
        </row>
        <row r="183">
          <cell r="A183" t="str">
            <v>VIRGEN DEL ROSARIO (EM)</v>
          </cell>
        </row>
        <row r="184">
          <cell r="A184" t="str">
            <v>VIRGEN DEL ROSARIO (ET)</v>
          </cell>
        </row>
        <row r="185">
          <cell r="A185" t="str">
            <v>3567 INSTITUTO JUAN CRISOSTOMO CENTURION (EI)</v>
          </cell>
        </row>
        <row r="186">
          <cell r="A186" t="str">
            <v>3567 JUAN CRISOSTOMO CENTURION (EEB)</v>
          </cell>
        </row>
        <row r="187">
          <cell r="A187" t="str">
            <v>JUAN CRISOSTOMO CENTURION (EM)</v>
          </cell>
        </row>
        <row r="188">
          <cell r="A188" t="str">
            <v>408 AMADO BITAR (EEB)</v>
          </cell>
        </row>
        <row r="189">
          <cell r="A189" t="str">
            <v>408 AMADO BITTAR (EI)</v>
          </cell>
        </row>
        <row r="190">
          <cell r="A190" t="str">
            <v>AMADO BITTAR (ET)</v>
          </cell>
        </row>
        <row r="191">
          <cell r="A191" t="str">
            <v>3283 (13737) (EI)</v>
          </cell>
        </row>
        <row r="192">
          <cell r="A192" t="str">
            <v>3283 (13737) JARDIN DE ITAGUA (EEB)</v>
          </cell>
        </row>
        <row r="193">
          <cell r="A193" t="str">
            <v>2896 INSTITUTO DEL MAÑANA (EI)</v>
          </cell>
        </row>
        <row r="194">
          <cell r="A194" t="str">
            <v>2896 TAPE PYAHU (EEB)</v>
          </cell>
        </row>
        <row r="195">
          <cell r="A195" t="str">
            <v>2958 (EI)</v>
          </cell>
        </row>
        <row r="196">
          <cell r="A196" t="str">
            <v>2958 NTRA. SRA. DE GUADALUPE (EEB)</v>
          </cell>
        </row>
        <row r="197">
          <cell r="A197" t="str">
            <v>JUANA BAUTISTA CAÑETE (EEB)</v>
          </cell>
        </row>
        <row r="198">
          <cell r="A198" t="str">
            <v>CARMEN LARA CASTRO (ET)</v>
          </cell>
        </row>
        <row r="199">
          <cell r="A199" t="str">
            <v>EN SALUD CARMEN DE LARA (ETS)</v>
          </cell>
        </row>
        <row r="200">
          <cell r="A200" t="str">
            <v>1019 ESPIRITU SANTO (EI)</v>
          </cell>
        </row>
        <row r="201">
          <cell r="A201" t="str">
            <v>1019 ESPIRITU SANTO (EEB)</v>
          </cell>
        </row>
        <row r="202">
          <cell r="A202" t="str">
            <v>ESPIRITU SANTO (EEB)</v>
          </cell>
        </row>
        <row r="203">
          <cell r="A203" t="str">
            <v>ESPIRITU SANTO (EM)</v>
          </cell>
        </row>
        <row r="204">
          <cell r="A204" t="str">
            <v>1025 MARIA AUXILIADORA (EI)</v>
          </cell>
        </row>
        <row r="205">
          <cell r="A205" t="str">
            <v>1025 MARIA AUXILIADORA (EEB)</v>
          </cell>
        </row>
        <row r="206">
          <cell r="A206" t="str">
            <v>MARIA AUXILIADORA (EM)</v>
          </cell>
        </row>
        <row r="207">
          <cell r="A207" t="str">
            <v>2130 NTRA. SRA DEL PERPETUO SOCORRO (EI)</v>
          </cell>
        </row>
        <row r="208">
          <cell r="A208" t="str">
            <v>2130 NTRA. SRA DEL PERPETUO SOCORRO (EEB)</v>
          </cell>
        </row>
        <row r="209">
          <cell r="A209" t="str">
            <v>606 ITAUGUA POTY (EI)</v>
          </cell>
        </row>
        <row r="210">
          <cell r="A210" t="str">
            <v>606 ITAUGUA POTY (EEB)</v>
          </cell>
        </row>
        <row r="211">
          <cell r="A211" t="str">
            <v>606 ITAUGUA POTY (EE)</v>
          </cell>
        </row>
        <row r="212">
          <cell r="A212" t="str">
            <v>ITAUGUA POTY (EM)</v>
          </cell>
        </row>
        <row r="213">
          <cell r="A213" t="str">
            <v>2329 NATIVIDAD B. DE PENAYO (EI)</v>
          </cell>
        </row>
        <row r="214">
          <cell r="A214" t="str">
            <v>2329 NATIVIDAD B. DE PENAYO (EEB)</v>
          </cell>
        </row>
        <row r="215">
          <cell r="A215" t="str">
            <v>1024 SRTA. LAUREANA VEGA (EI)</v>
          </cell>
        </row>
        <row r="216">
          <cell r="A216" t="str">
            <v>1024 SRTA. LAUREANA VEGA (EEB)</v>
          </cell>
        </row>
        <row r="217">
          <cell r="A217" t="str">
            <v>1022 VALLE KARE (EI)</v>
          </cell>
        </row>
        <row r="218">
          <cell r="A218" t="str">
            <v>1022 VALLE KARE (EEB)</v>
          </cell>
        </row>
        <row r="219">
          <cell r="A219" t="str">
            <v>VALLE KARE (EM)</v>
          </cell>
        </row>
        <row r="220">
          <cell r="A220" t="str">
            <v>2959 (EI)</v>
          </cell>
        </row>
        <row r="221">
          <cell r="A221" t="str">
            <v>2959 MBOKAJATY SUR (EEB)</v>
          </cell>
        </row>
        <row r="222">
          <cell r="A222" t="str">
            <v>2132 SALVADOR GUANES (EI)</v>
          </cell>
        </row>
        <row r="223">
          <cell r="A223" t="str">
            <v>2132 SALVADOR GUANES (EEB)</v>
          </cell>
        </row>
        <row r="224">
          <cell r="A224" t="str">
            <v>2132 SALVADOR GUANES (EE)</v>
          </cell>
        </row>
        <row r="225">
          <cell r="A225" t="str">
            <v>DON SALVADOR GUANES (EM)</v>
          </cell>
        </row>
        <row r="226">
          <cell r="A226" t="str">
            <v>NRO. 136 (EX S-S 27) (EMDJA)</v>
          </cell>
        </row>
        <row r="227">
          <cell r="A227" t="str">
            <v>1023 ESTANISLAO ESPINOLA (EI)</v>
          </cell>
        </row>
        <row r="228">
          <cell r="A228" t="str">
            <v>1023 ESTANISLAO ESPINOLA (EEB)</v>
          </cell>
        </row>
        <row r="229">
          <cell r="A229" t="str">
            <v>3723 (EI)</v>
          </cell>
        </row>
        <row r="230">
          <cell r="A230" t="str">
            <v>3723 SAN CAYETANO (EEB)</v>
          </cell>
        </row>
        <row r="231">
          <cell r="A231" t="str">
            <v>SAN CAYETANO (EM)</v>
          </cell>
        </row>
        <row r="232">
          <cell r="A232" t="str">
            <v>1359 (EI)</v>
          </cell>
        </row>
        <row r="233">
          <cell r="A233" t="str">
            <v>1359 DR. CARLOS CALCENO (EEB)</v>
          </cell>
        </row>
        <row r="234">
          <cell r="A234" t="str">
            <v>249 (EI)</v>
          </cell>
        </row>
        <row r="235">
          <cell r="A235" t="str">
            <v>249 DON FRANCISCO RAMON CABRAL FERNANDEZ (EEB)</v>
          </cell>
        </row>
        <row r="236">
          <cell r="A236" t="str">
            <v>SAN RAFAEL (EEB)</v>
          </cell>
        </row>
        <row r="237">
          <cell r="A237" t="str">
            <v>SAN RAFAEL (EM)</v>
          </cell>
        </row>
        <row r="238">
          <cell r="A238" t="str">
            <v>4273 (14636) (EI)</v>
          </cell>
        </row>
        <row r="239">
          <cell r="A239" t="str">
            <v>4273 (14636) RCA. DE MEXICO (EEB)</v>
          </cell>
        </row>
        <row r="240">
          <cell r="A240" t="str">
            <v>REPUBLICA DE MEXICO (EM)</v>
          </cell>
        </row>
        <row r="241">
          <cell r="A241" t="str">
            <v>1020 YVYRATY (EI)</v>
          </cell>
        </row>
        <row r="242">
          <cell r="A242" t="str">
            <v>1020 YVYRATY (EEB)</v>
          </cell>
        </row>
        <row r="243">
          <cell r="A243" t="str">
            <v>HEROES DEL CHACO (EM)</v>
          </cell>
        </row>
        <row r="244">
          <cell r="A244" t="str">
            <v>HEROES DEL CHACO (EEB)</v>
          </cell>
        </row>
        <row r="245">
          <cell r="A245" t="str">
            <v>1021 NTRA. SRA DEL PERPETUO SOCORRO (EI)</v>
          </cell>
        </row>
        <row r="246">
          <cell r="A246" t="str">
            <v>1021 NTRA. SRA DEL PERPETUO SOCORRO (EEB)</v>
          </cell>
        </row>
        <row r="247">
          <cell r="A247" t="str">
            <v>2129 VIRGEN MEDALLA MILAGROSA (EI)</v>
          </cell>
        </row>
        <row r="248">
          <cell r="A248" t="str">
            <v>2129 VIRGEN MEDALLA MILAGROSA (EEB)</v>
          </cell>
        </row>
        <row r="249">
          <cell r="A249" t="str">
            <v>3693 TEJEDORAS DE ÑANDUTI (EI)</v>
          </cell>
        </row>
        <row r="250">
          <cell r="A250" t="str">
            <v>3693 TEJEDORAS DE ÑANDUTI (EEB)</v>
          </cell>
        </row>
        <row r="251">
          <cell r="A251" t="str">
            <v>TEJEDORAS DE ÑANDUTI (EM)</v>
          </cell>
        </row>
        <row r="252">
          <cell r="A252" t="str">
            <v>607 SAN ANTONIO (EI)</v>
          </cell>
        </row>
        <row r="253">
          <cell r="A253" t="str">
            <v>607 SAN ANTONIO (EEB)</v>
          </cell>
        </row>
        <row r="254">
          <cell r="A254" t="str">
            <v>FELIX FERNANDEZ (EEB)</v>
          </cell>
        </row>
        <row r="255">
          <cell r="A255" t="str">
            <v>FELIX FERNANDEZ (EM)</v>
          </cell>
        </row>
        <row r="256">
          <cell r="A256" t="str">
            <v>2957 (EI)</v>
          </cell>
        </row>
        <row r="257">
          <cell r="A257" t="str">
            <v>2957 JYKYRYMI (EEB)</v>
          </cell>
        </row>
        <row r="258">
          <cell r="A258" t="str">
            <v>2131 VILLA ALTA (EI)</v>
          </cell>
        </row>
        <row r="259">
          <cell r="A259" t="str">
            <v>2131 VILLA ALTA (EEB)</v>
          </cell>
        </row>
        <row r="260">
          <cell r="A260" t="str">
            <v>305 MEDALLA MILAGROSA (EI)</v>
          </cell>
        </row>
        <row r="261">
          <cell r="A261" t="str">
            <v>4820 (14751) SAGRADA FAMILIA (EI)</v>
          </cell>
        </row>
        <row r="262">
          <cell r="A262" t="str">
            <v>4820 (14751) SAGRADA FAMILIA (EEB)</v>
          </cell>
        </row>
        <row r="263">
          <cell r="A263" t="str">
            <v>M-77 (EJA)</v>
          </cell>
        </row>
        <row r="264">
          <cell r="A264" t="str">
            <v>S-S NRO. 3 (EMDJA)</v>
          </cell>
        </row>
        <row r="265">
          <cell r="A265" t="str">
            <v>438 CENTRO EDUCATIVO ARANDU RAPE (EI)</v>
          </cell>
        </row>
        <row r="266">
          <cell r="A266" t="str">
            <v>6168 (438) ARANDU RAPE (EEB)</v>
          </cell>
        </row>
        <row r="267">
          <cell r="A267" t="str">
            <v>CENTRO EDUCATIVO ARANDU RAPE (EM)</v>
          </cell>
        </row>
        <row r="268">
          <cell r="A268" t="str">
            <v>CENTRO EDUCATIVO ARANDU RAPE (ET)</v>
          </cell>
        </row>
        <row r="269">
          <cell r="A269" t="str">
            <v>4843 INSTITUTO DEL SABER (EEB)</v>
          </cell>
        </row>
        <row r="270">
          <cell r="A270" t="str">
            <v>DEL SABER (EP)</v>
          </cell>
        </row>
        <row r="271">
          <cell r="A271" t="str">
            <v>E.M.A. DEL SABER (EMAPJA)</v>
          </cell>
        </row>
        <row r="272">
          <cell r="A272" t="str">
            <v>INSTITUTO DEL SABER (EM)</v>
          </cell>
        </row>
        <row r="273">
          <cell r="A273" t="str">
            <v>INSTITUTO DEL SABER (ET)</v>
          </cell>
        </row>
        <row r="274">
          <cell r="A274" t="str">
            <v>INSTITUTO DEL SABER (EJA)</v>
          </cell>
        </row>
        <row r="275">
          <cell r="A275" t="str">
            <v>6154 (471) LUNITA DE PLATA (EI)</v>
          </cell>
        </row>
        <row r="276">
          <cell r="A276" t="str">
            <v>6154 (471) LUNITA DE PLATA (EEB)</v>
          </cell>
        </row>
        <row r="277">
          <cell r="A277" t="str">
            <v>4819 (15053) DEFENSORES DEL CHACO (EEB)</v>
          </cell>
        </row>
        <row r="278">
          <cell r="A278" t="str">
            <v>4819 (15053) DEFENSORES DEL CHACO (EI)</v>
          </cell>
        </row>
        <row r="279">
          <cell r="A279" t="str">
            <v>DEFENSORES DEL CHACO (EM)</v>
          </cell>
        </row>
        <row r="280">
          <cell r="A280" t="str">
            <v>FRIENDSHIP¬S SCHOOL (EM)</v>
          </cell>
        </row>
        <row r="281">
          <cell r="A281" t="str">
            <v>FRIENDSHIPS SCHOOL (ET)</v>
          </cell>
        </row>
        <row r="282">
          <cell r="A282" t="str">
            <v>15303 COLEGIO CRISTO REY (EI)</v>
          </cell>
        </row>
        <row r="283">
          <cell r="A283" t="str">
            <v>15303 CRISTO REY (EEB)</v>
          </cell>
        </row>
        <row r="284">
          <cell r="A284" t="str">
            <v>CRISTO REY (EM)</v>
          </cell>
        </row>
        <row r="285">
          <cell r="A285" t="str">
            <v>E.M.A. MARIA AUXILIADORA (EMAPJA)</v>
          </cell>
        </row>
        <row r="286">
          <cell r="A286" t="str">
            <v>MARIA AUXILIADORA (EJA)</v>
          </cell>
        </row>
        <row r="287">
          <cell r="A287" t="str">
            <v>MARIA AUXILIADORA (EP)</v>
          </cell>
        </row>
        <row r="288">
          <cell r="A288" t="str">
            <v>MARIA AUXILIADORA (EM)</v>
          </cell>
        </row>
        <row r="289">
          <cell r="A289" t="str">
            <v>MARIA AUXILIADORA (ET)</v>
          </cell>
        </row>
        <row r="290">
          <cell r="A290" t="str">
            <v>FD EN SERV. PARAG. DE TEC. Y CIENCIAS DE EDUC. (FDES)</v>
          </cell>
        </row>
        <row r="291">
          <cell r="A291" t="str">
            <v>IMST. PARAGUAYO DE FORMACION PROFESIONAL (EP)</v>
          </cell>
        </row>
        <row r="292">
          <cell r="A292" t="str">
            <v>PARAG. DE TEC. Y CIENCIAS DE EDUCACION (FED)</v>
          </cell>
        </row>
        <row r="293">
          <cell r="A293" t="str">
            <v>SANTA ANA (EP)</v>
          </cell>
        </row>
        <row r="294">
          <cell r="A294" t="str">
            <v>VIRGEN DEL ROSARIO (EP)</v>
          </cell>
        </row>
        <row r="295">
          <cell r="A295" t="str">
            <v>SANTA MARIA EUFRASIA (EP)</v>
          </cell>
        </row>
        <row r="296">
          <cell r="A296" t="str">
            <v>VIRGEN DEL CARMEN (EP)</v>
          </cell>
        </row>
        <row r="297">
          <cell r="A297" t="str">
            <v>CENTRO 11-406 PADRE LUIGI GIUSSANI (EJA)</v>
          </cell>
        </row>
        <row r="298">
          <cell r="A298" t="str">
            <v>15458 CENTRO EDUCACIONAL BAUTISTA GILGAL (EI)</v>
          </cell>
        </row>
        <row r="299">
          <cell r="A299" t="str">
            <v>15458 CENTRO EDUCACIONAL BAUTISTA GILGAL (EEB)</v>
          </cell>
        </row>
        <row r="300">
          <cell r="A300" t="str">
            <v>5947 PRIVADA CRISTIANA "PALABRA DE VIDA" (EI)</v>
          </cell>
        </row>
        <row r="301">
          <cell r="A301" t="str">
            <v>5947 PRIVADA CRISTIANA "PALABRA DE VIDA" (EEB)</v>
          </cell>
        </row>
        <row r="302">
          <cell r="A302" t="str">
            <v>LINCY (EP)</v>
          </cell>
        </row>
        <row r="303">
          <cell r="A303" t="str">
            <v>6024 PRIVADO AMANECER (EEB)</v>
          </cell>
        </row>
        <row r="304">
          <cell r="A304" t="str">
            <v>AMANECER (EM)</v>
          </cell>
        </row>
        <row r="305">
          <cell r="A305" t="str">
            <v>AMANECER (ET)</v>
          </cell>
        </row>
        <row r="306">
          <cell r="A306" t="str">
            <v>CENTRO 11-291 (EJA)</v>
          </cell>
        </row>
        <row r="307">
          <cell r="A307" t="str">
            <v>6114 SANTA LIBRADA (EI)</v>
          </cell>
        </row>
        <row r="308">
          <cell r="A308" t="str">
            <v>6114 SANTA LIBRADA (EEB)</v>
          </cell>
        </row>
        <row r="309">
          <cell r="A309" t="str">
            <v>SANTA LIBRADA (ET)</v>
          </cell>
        </row>
        <row r="310">
          <cell r="A310" t="str">
            <v>6393 URUNDE' Y (EI)</v>
          </cell>
        </row>
        <row r="311">
          <cell r="A311" t="str">
            <v>6393 URUNDE' Y (EEB)</v>
          </cell>
        </row>
        <row r="312">
          <cell r="A312" t="str">
            <v>ATENEO DE LENGUA - REGIONAL ITAUGUA (FED)</v>
          </cell>
        </row>
        <row r="313">
          <cell r="A313" t="str">
            <v>7093 ESPERANZA (EI)</v>
          </cell>
        </row>
        <row r="314">
          <cell r="A314" t="str">
            <v>7093 ESPERANZA (EEB)</v>
          </cell>
        </row>
        <row r="315">
          <cell r="A315" t="str">
            <v>CENTRO 11-380 (EJA)</v>
          </cell>
        </row>
        <row r="316">
          <cell r="A316" t="str">
            <v>6942 SANTA CECILIA (EI)</v>
          </cell>
        </row>
        <row r="317">
          <cell r="A317" t="str">
            <v>6942 SANTA CECILIA (EEB)</v>
          </cell>
        </row>
        <row r="318">
          <cell r="A318" t="str">
            <v>6660 VECINOS UNIDOS (EI)</v>
          </cell>
        </row>
        <row r="319">
          <cell r="A319" t="str">
            <v>6660 VECINOS UNIDOS (EEB)</v>
          </cell>
        </row>
        <row r="320">
          <cell r="A320" t="str">
            <v>7238 SAN BLAS (EI)</v>
          </cell>
        </row>
        <row r="321">
          <cell r="A321" t="str">
            <v>7238 SAN BLAS (EEB)</v>
          </cell>
        </row>
        <row r="322">
          <cell r="A322" t="str">
            <v>SAGRADA FAMILIA (EP)</v>
          </cell>
        </row>
        <row r="323">
          <cell r="A323" t="str">
            <v>C.F.I.PERS.CIEGAS Y DEFICIENTES VISUALES (EI)</v>
          </cell>
        </row>
        <row r="324">
          <cell r="A324" t="str">
            <v>C.F.I.PERS.CIEGAS Y DEFICIENTES VISUALES (EE)</v>
          </cell>
        </row>
        <row r="325">
          <cell r="A325" t="str">
            <v>7392 UNION GUARANI (EI)</v>
          </cell>
        </row>
        <row r="326">
          <cell r="A326" t="str">
            <v>7392 UNION GUARANI (EEB)</v>
          </cell>
        </row>
        <row r="327">
          <cell r="A327" t="str">
            <v>MICRO SCHOOL INFORMATICA (EP)</v>
          </cell>
        </row>
        <row r="328">
          <cell r="A328" t="str">
            <v>SAN ANTONIO (EM)</v>
          </cell>
        </row>
        <row r="329">
          <cell r="A329" t="str">
            <v>C.E. DPTAL. DIVINO SALVADOR DEL MUNDO (EM)</v>
          </cell>
        </row>
        <row r="330">
          <cell r="A330" t="str">
            <v>C.E. DPTAL. DIVINO SALVADOR DEL MUNDO (ET)</v>
          </cell>
        </row>
        <row r="331">
          <cell r="A331" t="str">
            <v>6390 MARIA AUXILIADORA (EI)</v>
          </cell>
        </row>
        <row r="332">
          <cell r="A332" t="str">
            <v>6390 MARIA AUXILIADORA (EEB)</v>
          </cell>
        </row>
        <row r="333">
          <cell r="A333" t="str">
            <v>7493 ÑEMITY (EI)</v>
          </cell>
        </row>
        <row r="334">
          <cell r="A334" t="str">
            <v>7493 ÑEMITY (EEB)</v>
          </cell>
        </row>
        <row r="335">
          <cell r="A335" t="str">
            <v>SAGRADO CORAZON (ETS)</v>
          </cell>
        </row>
        <row r="336">
          <cell r="A336" t="str">
            <v>CENTRO 11-417 (EJA)</v>
          </cell>
        </row>
        <row r="337">
          <cell r="A337" t="str">
            <v>7606 VIDA Y PAZ (EI)</v>
          </cell>
        </row>
        <row r="338">
          <cell r="A338" t="str">
            <v>7606 VIDA Y PAZ (EEB)</v>
          </cell>
        </row>
        <row r="339">
          <cell r="A339" t="str">
            <v>7607 HISPANO AMERICANO (EI)</v>
          </cell>
        </row>
        <row r="340">
          <cell r="A340" t="str">
            <v>7607 HISPANO AMERICANO (EEB)</v>
          </cell>
        </row>
        <row r="341">
          <cell r="A341" t="str">
            <v>DPTAL. MUN. DR. MARIANO CELSO PEDROZO (ET)</v>
          </cell>
        </row>
        <row r="342">
          <cell r="A342" t="str">
            <v>7641 SAN JOSE (EI)</v>
          </cell>
        </row>
        <row r="343">
          <cell r="A343" t="str">
            <v>7641 SAN JOSE (EEB)</v>
          </cell>
        </row>
        <row r="344">
          <cell r="A344" t="str">
            <v>SAN JOSE (EM)</v>
          </cell>
        </row>
        <row r="345">
          <cell r="A345" t="str">
            <v>CENTRO 11-399 (EJA)</v>
          </cell>
        </row>
        <row r="346">
          <cell r="A346" t="str">
            <v>NRO. 134 (EMDJA)</v>
          </cell>
        </row>
        <row r="347">
          <cell r="A347" t="str">
            <v>CENTRO 11-267 (EJA)</v>
          </cell>
        </row>
        <row r="348">
          <cell r="A348" t="str">
            <v>SAGRADO CORAZON DE JESUS (ETS)</v>
          </cell>
        </row>
        <row r="349">
          <cell r="A349" t="str">
            <v>5947 PRIVADA CRISTIANA "PALABRA DE VIDA" cambio de denominacion a Ñandejara (EI)</v>
          </cell>
        </row>
        <row r="350">
          <cell r="A350" t="str">
            <v>5947 PRIVADA CRISTIANA "PALABRA DE VIDA" cambio de denominacion a Ñandejara (EEB)</v>
          </cell>
        </row>
        <row r="351">
          <cell r="A351" t="str">
            <v>6154 (471) LUNITA DE PLATA CAMBIO DE DENOMINACION Santa Terista del Niño Jesus (EI)</v>
          </cell>
        </row>
        <row r="352">
          <cell r="A352" t="str">
            <v>6154 (471) LUNITA DE PLATA CAMBIO DE DENOMINACION Santa Terista del Niño Jesus (EEB)</v>
          </cell>
        </row>
        <row r="353">
          <cell r="A353" t="str">
            <v>COL. PRIV. SANTA TERESITA DEL NIÑO JESUS (EM)</v>
          </cell>
        </row>
        <row r="354">
          <cell r="A354" t="str">
            <v>S-S NRO. 3 CENTRO N° 142 (EMDJA)</v>
          </cell>
        </row>
        <row r="355">
          <cell r="A355" t="str">
            <v>M-77(ESTA EN FUNCIONAMIENTO) (EJA)</v>
          </cell>
        </row>
        <row r="356">
          <cell r="A356" t="str">
            <v>COL. NAC. TAPE PYAHU ()</v>
          </cell>
        </row>
        <row r="357">
          <cell r="A357" t="str">
            <v>COL. NAC. JARDIN DE ITAUGUA (EM)</v>
          </cell>
        </row>
        <row r="358">
          <cell r="A358" t="str">
            <v>CENTRO EDUCATIVO INFANTIL SANTA CLARA DE ASIS n° 8011 (EI)</v>
          </cell>
        </row>
        <row r="359">
          <cell r="A359" t="str">
            <v xml:space="preserve"> ()</v>
          </cell>
        </row>
        <row r="360">
          <cell r="A360" t="str">
            <v xml:space="preserve"> ()</v>
          </cell>
        </row>
        <row r="361">
          <cell r="A361" t="str">
            <v xml:space="preserve"> ()</v>
          </cell>
        </row>
        <row r="362">
          <cell r="A362" t="str">
            <v xml:space="preserve"> ()</v>
          </cell>
        </row>
        <row r="363">
          <cell r="A363" t="str">
            <v xml:space="preserve"> ()</v>
          </cell>
        </row>
        <row r="364">
          <cell r="A364" t="str">
            <v xml:space="preserve"> ()</v>
          </cell>
        </row>
        <row r="365">
          <cell r="A365" t="str">
            <v xml:space="preserve"> ()</v>
          </cell>
        </row>
        <row r="366">
          <cell r="A366" t="str">
            <v xml:space="preserve"> ()</v>
          </cell>
        </row>
        <row r="367">
          <cell r="A367" t="str">
            <v xml:space="preserve"> ()</v>
          </cell>
        </row>
        <row r="368">
          <cell r="A368" t="str">
            <v xml:space="preserve"> ()</v>
          </cell>
        </row>
        <row r="369">
          <cell r="A369" t="str">
            <v xml:space="preserve"> ()</v>
          </cell>
        </row>
        <row r="370">
          <cell r="A370" t="str">
            <v xml:space="preserve"> ()</v>
          </cell>
        </row>
        <row r="371">
          <cell r="A371" t="str">
            <v xml:space="preserve"> ()</v>
          </cell>
        </row>
        <row r="372">
          <cell r="A372" t="str">
            <v xml:space="preserve"> ()</v>
          </cell>
        </row>
        <row r="373">
          <cell r="A373" t="str">
            <v xml:space="preserve"> ()</v>
          </cell>
        </row>
        <row r="374">
          <cell r="A374" t="str">
            <v xml:space="preserve"> ()</v>
          </cell>
        </row>
        <row r="375">
          <cell r="A375" t="str">
            <v xml:space="preserve"> ()</v>
          </cell>
        </row>
        <row r="376">
          <cell r="A376" t="str">
            <v xml:space="preserve"> ()</v>
          </cell>
        </row>
        <row r="377">
          <cell r="A377" t="str">
            <v xml:space="preserve"> ()</v>
          </cell>
        </row>
        <row r="378">
          <cell r="A378" t="str">
            <v xml:space="preserve"> ()</v>
          </cell>
        </row>
        <row r="379">
          <cell r="A379" t="str">
            <v xml:space="preserve"> ()</v>
          </cell>
        </row>
        <row r="380">
          <cell r="A380" t="str">
            <v xml:space="preserve"> ()</v>
          </cell>
        </row>
        <row r="381">
          <cell r="A381" t="str">
            <v xml:space="preserve"> ()</v>
          </cell>
        </row>
        <row r="382">
          <cell r="A382" t="str">
            <v xml:space="preserve"> ()</v>
          </cell>
        </row>
        <row r="383">
          <cell r="A383" t="str">
            <v xml:space="preserve"> ()</v>
          </cell>
        </row>
        <row r="384">
          <cell r="A384" t="str">
            <v xml:space="preserve"> ()</v>
          </cell>
        </row>
        <row r="385">
          <cell r="A385" t="str">
            <v xml:space="preserve"> ()</v>
          </cell>
        </row>
        <row r="386">
          <cell r="A386" t="str">
            <v xml:space="preserve"> ()</v>
          </cell>
        </row>
        <row r="387">
          <cell r="A387" t="str">
            <v xml:space="preserve"> ()</v>
          </cell>
        </row>
        <row r="388">
          <cell r="A388" t="str">
            <v xml:space="preserve"> ()</v>
          </cell>
        </row>
        <row r="389">
          <cell r="A389" t="str">
            <v xml:space="preserve"> ()</v>
          </cell>
        </row>
        <row r="390">
          <cell r="A390" t="str">
            <v xml:space="preserve"> ()</v>
          </cell>
        </row>
        <row r="391">
          <cell r="A391" t="str">
            <v xml:space="preserve"> ()</v>
          </cell>
        </row>
        <row r="392">
          <cell r="A392" t="str">
            <v xml:space="preserve"> ()</v>
          </cell>
        </row>
        <row r="393">
          <cell r="A393" t="str">
            <v xml:space="preserve"> ()</v>
          </cell>
        </row>
        <row r="394">
          <cell r="A394" t="str">
            <v xml:space="preserve"> ()</v>
          </cell>
        </row>
        <row r="395">
          <cell r="A395" t="str">
            <v xml:space="preserve"> ()</v>
          </cell>
        </row>
        <row r="396">
          <cell r="A396" t="str">
            <v xml:space="preserve"> ()</v>
          </cell>
        </row>
        <row r="397">
          <cell r="A397" t="str">
            <v xml:space="preserve"> ()</v>
          </cell>
        </row>
        <row r="398">
          <cell r="A398" t="str">
            <v xml:space="preserve"> ()</v>
          </cell>
        </row>
        <row r="399">
          <cell r="A399" t="str">
            <v xml:space="preserve"> ()</v>
          </cell>
        </row>
        <row r="400">
          <cell r="A400" t="str">
            <v xml:space="preserve"> ()</v>
          </cell>
        </row>
        <row r="401">
          <cell r="A401" t="str">
            <v xml:space="preserve"> ()</v>
          </cell>
        </row>
        <row r="402">
          <cell r="A402" t="str">
            <v xml:space="preserve"> ()</v>
          </cell>
        </row>
        <row r="403">
          <cell r="A403" t="str">
            <v xml:space="preserve"> ()</v>
          </cell>
        </row>
        <row r="404">
          <cell r="A404" t="str">
            <v xml:space="preserve"> ()</v>
          </cell>
        </row>
        <row r="405">
          <cell r="A405" t="str">
            <v xml:space="preserve"> ()</v>
          </cell>
        </row>
        <row r="406">
          <cell r="A406" t="str">
            <v xml:space="preserve"> ()</v>
          </cell>
        </row>
        <row r="407">
          <cell r="A407" t="str">
            <v xml:space="preserve"> ()</v>
          </cell>
        </row>
        <row r="408">
          <cell r="A408" t="str">
            <v xml:space="preserve"> ()</v>
          </cell>
        </row>
        <row r="409">
          <cell r="A409" t="str">
            <v xml:space="preserve"> ()</v>
          </cell>
        </row>
        <row r="410">
          <cell r="A410" t="str">
            <v xml:space="preserve"> ()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4ED7-CCA4-4BBF-8400-6A1F6DDB283C}">
  <sheetPr>
    <outlinePr summaryBelow="0" summaryRight="0"/>
  </sheetPr>
  <dimension ref="A2:F96"/>
  <sheetViews>
    <sheetView tabSelected="1" topLeftCell="C49" zoomScale="86" zoomScaleNormal="130" zoomScaleSheetLayoutView="98" workbookViewId="0">
      <selection activeCell="C60" sqref="C60"/>
    </sheetView>
  </sheetViews>
  <sheetFormatPr baseColWidth="10" defaultColWidth="11.42578125" defaultRowHeight="12" outlineLevelRow="3" x14ac:dyDescent="0.25"/>
  <cols>
    <col min="1" max="1" width="4.5703125" style="1" hidden="1" customWidth="1"/>
    <col min="2" max="2" width="17.28515625" style="1" hidden="1" customWidth="1"/>
    <col min="3" max="3" width="64.7109375" style="2" customWidth="1" collapsed="1"/>
    <col min="4" max="4" width="17.28515625" style="1" bestFit="1" customWidth="1"/>
    <col min="5" max="5" width="14.140625" style="1" customWidth="1"/>
    <col min="6" max="6" width="15.5703125" style="1" bestFit="1" customWidth="1"/>
    <col min="7" max="16384" width="11.42578125" style="1"/>
  </cols>
  <sheetData>
    <row r="2" spans="1:6" s="35" customFormat="1" ht="30.75" customHeight="1" x14ac:dyDescent="0.25">
      <c r="A2" s="38" t="s">
        <v>82</v>
      </c>
      <c r="B2" s="38" t="s">
        <v>81</v>
      </c>
      <c r="C2" s="37" t="s">
        <v>80</v>
      </c>
      <c r="D2" s="36" t="s">
        <v>79</v>
      </c>
      <c r="E2" s="36" t="s">
        <v>78</v>
      </c>
      <c r="F2" s="36" t="s">
        <v>77</v>
      </c>
    </row>
    <row r="3" spans="1:6" ht="24.95" customHeight="1" x14ac:dyDescent="0.25">
      <c r="A3" s="30">
        <v>1</v>
      </c>
      <c r="B3" s="30"/>
      <c r="C3" s="16" t="s">
        <v>76</v>
      </c>
      <c r="D3" s="15">
        <f>+D4+D16</f>
        <v>99040000</v>
      </c>
      <c r="E3" s="15">
        <f>+E4+E16</f>
        <v>9000000</v>
      </c>
      <c r="F3" s="15">
        <f>+F4+F16</f>
        <v>108040000</v>
      </c>
    </row>
    <row r="4" spans="1:6" ht="24.95" customHeight="1" outlineLevel="1" x14ac:dyDescent="0.25">
      <c r="A4" s="27">
        <v>1</v>
      </c>
      <c r="B4" s="27"/>
      <c r="C4" s="14" t="s">
        <v>75</v>
      </c>
      <c r="D4" s="13">
        <f>+D5+D11</f>
        <v>92618056</v>
      </c>
      <c r="E4" s="13">
        <f>+E5+E11</f>
        <v>8356944</v>
      </c>
      <c r="F4" s="13">
        <f>+F5+F11</f>
        <v>100975000</v>
      </c>
    </row>
    <row r="5" spans="1:6" ht="24.95" customHeight="1" outlineLevel="2" x14ac:dyDescent="0.25">
      <c r="A5" s="22">
        <v>1</v>
      </c>
      <c r="B5" s="22"/>
      <c r="C5" s="20" t="s">
        <v>74</v>
      </c>
      <c r="D5" s="19">
        <f>+SUM(D6:D10)</f>
        <v>92618056</v>
      </c>
      <c r="E5" s="19">
        <f>+SUM(E6:E10)</f>
        <v>0</v>
      </c>
      <c r="F5" s="19">
        <f>+SUM(F6:F10)</f>
        <v>92618056</v>
      </c>
    </row>
    <row r="6" spans="1:6" ht="24.95" customHeight="1" outlineLevel="3" x14ac:dyDescent="0.25">
      <c r="A6" s="12">
        <v>1</v>
      </c>
      <c r="B6" s="12"/>
      <c r="C6" s="11" t="s">
        <v>73</v>
      </c>
      <c r="D6" s="10">
        <v>85980000</v>
      </c>
      <c r="E6" s="10">
        <v>0</v>
      </c>
      <c r="F6" s="10">
        <f>E6+D6</f>
        <v>85980000</v>
      </c>
    </row>
    <row r="7" spans="1:6" ht="24.95" customHeight="1" outlineLevel="3" x14ac:dyDescent="0.25">
      <c r="A7" s="12">
        <v>1</v>
      </c>
      <c r="B7" s="12" t="s">
        <v>72</v>
      </c>
      <c r="C7" s="11" t="s">
        <v>71</v>
      </c>
      <c r="D7" s="10">
        <v>204725</v>
      </c>
      <c r="E7" s="10">
        <v>0</v>
      </c>
      <c r="F7" s="10">
        <f>E7+D7</f>
        <v>204725</v>
      </c>
    </row>
    <row r="8" spans="1:6" ht="24.95" customHeight="1" outlineLevel="3" x14ac:dyDescent="0.25">
      <c r="A8" s="12">
        <v>1</v>
      </c>
      <c r="B8" s="12"/>
      <c r="C8" s="11" t="s">
        <v>70</v>
      </c>
      <c r="D8" s="10">
        <v>529112</v>
      </c>
      <c r="E8" s="10">
        <v>0</v>
      </c>
      <c r="F8" s="10">
        <f>E8+D8</f>
        <v>529112</v>
      </c>
    </row>
    <row r="9" spans="1:6" ht="24.95" customHeight="1" outlineLevel="3" x14ac:dyDescent="0.25">
      <c r="A9" s="12">
        <v>1</v>
      </c>
      <c r="B9" s="12"/>
      <c r="C9" s="11" t="s">
        <v>69</v>
      </c>
      <c r="D9" s="10">
        <v>304219</v>
      </c>
      <c r="E9" s="10">
        <v>0</v>
      </c>
      <c r="F9" s="10">
        <f>E9+D9</f>
        <v>304219</v>
      </c>
    </row>
    <row r="10" spans="1:6" ht="24.95" customHeight="1" outlineLevel="3" x14ac:dyDescent="0.25">
      <c r="A10" s="12">
        <v>1</v>
      </c>
      <c r="B10" s="12"/>
      <c r="C10" s="11" t="s">
        <v>68</v>
      </c>
      <c r="D10" s="10">
        <v>5600000</v>
      </c>
      <c r="E10" s="10">
        <v>0</v>
      </c>
      <c r="F10" s="10">
        <f>E10+D10</f>
        <v>5600000</v>
      </c>
    </row>
    <row r="11" spans="1:6" ht="24.95" customHeight="1" outlineLevel="2" x14ac:dyDescent="0.25">
      <c r="A11" s="22">
        <v>1</v>
      </c>
      <c r="B11" s="22"/>
      <c r="C11" s="20" t="s">
        <v>67</v>
      </c>
      <c r="D11" s="19">
        <f>+SUM(D12:D15)</f>
        <v>0</v>
      </c>
      <c r="E11" s="19">
        <f>+SUM(E12:E15)</f>
        <v>8356944</v>
      </c>
      <c r="F11" s="19">
        <f>+SUM(F12:F15)</f>
        <v>8356944</v>
      </c>
    </row>
    <row r="12" spans="1:6" ht="24.95" customHeight="1" outlineLevel="3" x14ac:dyDescent="0.25">
      <c r="A12" s="12">
        <v>1</v>
      </c>
      <c r="B12" s="12" t="s">
        <v>65</v>
      </c>
      <c r="C12" s="11" t="s">
        <v>66</v>
      </c>
      <c r="D12" s="10">
        <v>0</v>
      </c>
      <c r="E12" s="10">
        <v>8000000</v>
      </c>
      <c r="F12" s="10">
        <f>+D12+E12</f>
        <v>8000000</v>
      </c>
    </row>
    <row r="13" spans="1:6" ht="24.95" customHeight="1" outlineLevel="3" x14ac:dyDescent="0.25">
      <c r="A13" s="12">
        <v>1</v>
      </c>
      <c r="B13" s="12" t="s">
        <v>65</v>
      </c>
      <c r="C13" s="11" t="s">
        <v>54</v>
      </c>
      <c r="D13" s="10">
        <v>0</v>
      </c>
      <c r="E13" s="10">
        <v>54475</v>
      </c>
      <c r="F13" s="10">
        <f>+D13+E13</f>
        <v>54475</v>
      </c>
    </row>
    <row r="14" spans="1:6" ht="24.95" customHeight="1" outlineLevel="3" x14ac:dyDescent="0.25">
      <c r="A14" s="12">
        <v>1</v>
      </c>
      <c r="B14" s="12" t="s">
        <v>65</v>
      </c>
      <c r="C14" s="11" t="s">
        <v>64</v>
      </c>
      <c r="D14" s="10">
        <v>0</v>
      </c>
      <c r="E14" s="10">
        <v>217288</v>
      </c>
      <c r="F14" s="10">
        <f>+D14+E14</f>
        <v>217288</v>
      </c>
    </row>
    <row r="15" spans="1:6" ht="24.95" customHeight="1" outlineLevel="3" x14ac:dyDescent="0.25">
      <c r="A15" s="12">
        <v>1</v>
      </c>
      <c r="B15" s="12" t="s">
        <v>41</v>
      </c>
      <c r="C15" s="11" t="s">
        <v>52</v>
      </c>
      <c r="D15" s="10">
        <v>0</v>
      </c>
      <c r="E15" s="10">
        <v>85181</v>
      </c>
      <c r="F15" s="10">
        <f>+D15+E15</f>
        <v>85181</v>
      </c>
    </row>
    <row r="16" spans="1:6" ht="24.95" customHeight="1" outlineLevel="1" x14ac:dyDescent="0.25">
      <c r="A16" s="27">
        <v>1</v>
      </c>
      <c r="B16" s="27"/>
      <c r="C16" s="14" t="s">
        <v>63</v>
      </c>
      <c r="D16" s="13">
        <f>+D17+D23</f>
        <v>6421944</v>
      </c>
      <c r="E16" s="13">
        <f>+E17+E23</f>
        <v>643056</v>
      </c>
      <c r="F16" s="13">
        <f>+F17+F23</f>
        <v>7065000</v>
      </c>
    </row>
    <row r="17" spans="1:6" ht="24.95" customHeight="1" outlineLevel="2" x14ac:dyDescent="0.25">
      <c r="A17" s="22">
        <v>1</v>
      </c>
      <c r="B17" s="22"/>
      <c r="C17" s="34" t="s">
        <v>62</v>
      </c>
      <c r="D17" s="19">
        <f>+SUM(D18:D22)</f>
        <v>6421944</v>
      </c>
      <c r="E17" s="19">
        <f>+SUM(E18:E22)</f>
        <v>0</v>
      </c>
      <c r="F17" s="19">
        <f>+SUM(F18:F22)</f>
        <v>6421944</v>
      </c>
    </row>
    <row r="18" spans="1:6" ht="24.95" customHeight="1" outlineLevel="3" x14ac:dyDescent="0.25">
      <c r="A18" s="12">
        <v>1</v>
      </c>
      <c r="B18" s="12" t="s">
        <v>12</v>
      </c>
      <c r="C18" s="31" t="s">
        <v>61</v>
      </c>
      <c r="D18" s="10">
        <v>6000000</v>
      </c>
      <c r="E18" s="10">
        <v>0</v>
      </c>
      <c r="F18" s="10">
        <f>+D18+E18</f>
        <v>6000000</v>
      </c>
    </row>
    <row r="19" spans="1:6" ht="24.95" customHeight="1" outlineLevel="3" x14ac:dyDescent="0.25">
      <c r="A19" s="12">
        <v>1</v>
      </c>
      <c r="B19" s="12" t="s">
        <v>12</v>
      </c>
      <c r="C19" s="31" t="s">
        <v>60</v>
      </c>
      <c r="D19" s="10">
        <v>25275</v>
      </c>
      <c r="E19" s="10">
        <v>0</v>
      </c>
      <c r="F19" s="10">
        <f>+D19+E19</f>
        <v>25275</v>
      </c>
    </row>
    <row r="20" spans="1:6" ht="24.95" customHeight="1" outlineLevel="3" x14ac:dyDescent="0.25">
      <c r="A20" s="12">
        <v>1</v>
      </c>
      <c r="B20" s="12" t="s">
        <v>12</v>
      </c>
      <c r="C20" s="31" t="s">
        <v>59</v>
      </c>
      <c r="D20" s="10">
        <v>70888</v>
      </c>
      <c r="E20" s="10">
        <v>0</v>
      </c>
      <c r="F20" s="10">
        <f>+D20+E20</f>
        <v>70888</v>
      </c>
    </row>
    <row r="21" spans="1:6" ht="24.95" customHeight="1" outlineLevel="3" x14ac:dyDescent="0.25">
      <c r="A21" s="12">
        <v>1</v>
      </c>
      <c r="B21" s="12" t="s">
        <v>12</v>
      </c>
      <c r="C21" s="31" t="s">
        <v>58</v>
      </c>
      <c r="D21" s="10">
        <v>25781</v>
      </c>
      <c r="E21" s="10">
        <v>0</v>
      </c>
      <c r="F21" s="10">
        <f>+D21+E21</f>
        <v>25781</v>
      </c>
    </row>
    <row r="22" spans="1:6" ht="24.95" customHeight="1" outlineLevel="3" x14ac:dyDescent="0.25">
      <c r="A22" s="12">
        <v>1</v>
      </c>
      <c r="B22" s="12" t="s">
        <v>12</v>
      </c>
      <c r="C22" s="31" t="s">
        <v>57</v>
      </c>
      <c r="D22" s="10">
        <v>300000</v>
      </c>
      <c r="E22" s="10">
        <v>0</v>
      </c>
      <c r="F22" s="10">
        <f>+D22+E22</f>
        <v>300000</v>
      </c>
    </row>
    <row r="23" spans="1:6" ht="24.95" customHeight="1" outlineLevel="2" x14ac:dyDescent="0.25">
      <c r="A23" s="33">
        <v>1</v>
      </c>
      <c r="B23" s="32"/>
      <c r="C23" s="20" t="s">
        <v>56</v>
      </c>
      <c r="D23" s="19">
        <f>+SUM(D24:D27)</f>
        <v>0</v>
      </c>
      <c r="E23" s="19">
        <f>+SUM(E24:E27)</f>
        <v>643056</v>
      </c>
      <c r="F23" s="19">
        <f>+SUM(F24:F27)</f>
        <v>643056</v>
      </c>
    </row>
    <row r="24" spans="1:6" ht="24.95" customHeight="1" outlineLevel="3" x14ac:dyDescent="0.25">
      <c r="A24" s="12">
        <v>1</v>
      </c>
      <c r="B24" s="12" t="s">
        <v>12</v>
      </c>
      <c r="C24" s="31" t="s">
        <v>55</v>
      </c>
      <c r="D24" s="10">
        <v>0</v>
      </c>
      <c r="E24" s="10">
        <v>600000</v>
      </c>
      <c r="F24" s="10">
        <f>E24+D24</f>
        <v>600000</v>
      </c>
    </row>
    <row r="25" spans="1:6" ht="24.95" customHeight="1" outlineLevel="3" x14ac:dyDescent="0.25">
      <c r="A25" s="12"/>
      <c r="B25" s="12"/>
      <c r="C25" s="31" t="s">
        <v>54</v>
      </c>
      <c r="D25" s="10">
        <v>0</v>
      </c>
      <c r="E25" s="10">
        <v>6725</v>
      </c>
      <c r="F25" s="10">
        <f>E25+D25</f>
        <v>6725</v>
      </c>
    </row>
    <row r="26" spans="1:6" ht="24.95" customHeight="1" outlineLevel="3" x14ac:dyDescent="0.25">
      <c r="A26" s="12"/>
      <c r="B26" s="12"/>
      <c r="C26" s="31" t="s">
        <v>53</v>
      </c>
      <c r="D26" s="10">
        <v>0</v>
      </c>
      <c r="E26" s="10">
        <v>29112</v>
      </c>
      <c r="F26" s="10">
        <f>E26+D26</f>
        <v>29112</v>
      </c>
    </row>
    <row r="27" spans="1:6" ht="24.95" customHeight="1" outlineLevel="3" x14ac:dyDescent="0.25">
      <c r="A27" s="12"/>
      <c r="B27" s="12"/>
      <c r="C27" s="31" t="s">
        <v>52</v>
      </c>
      <c r="D27" s="10">
        <v>0</v>
      </c>
      <c r="E27" s="10">
        <v>7219</v>
      </c>
      <c r="F27" s="10">
        <f>E27+D27</f>
        <v>7219</v>
      </c>
    </row>
    <row r="28" spans="1:6" ht="24.95" customHeight="1" x14ac:dyDescent="0.25">
      <c r="A28" s="30">
        <v>2</v>
      </c>
      <c r="B28" s="30"/>
      <c r="C28" s="29" t="s">
        <v>51</v>
      </c>
      <c r="D28" s="7">
        <f>+D29+D39+D45</f>
        <v>0</v>
      </c>
      <c r="E28" s="7">
        <f>+E29+E39+E45</f>
        <v>6025000</v>
      </c>
      <c r="F28" s="7">
        <f>+F29+F39+F45</f>
        <v>6025000</v>
      </c>
    </row>
    <row r="29" spans="1:6" ht="24.95" customHeight="1" outlineLevel="1" x14ac:dyDescent="0.25">
      <c r="A29" s="27">
        <v>2</v>
      </c>
      <c r="B29" s="27"/>
      <c r="C29" s="14" t="s">
        <v>50</v>
      </c>
      <c r="D29" s="13">
        <f>+D30+D33+D36</f>
        <v>0</v>
      </c>
      <c r="E29" s="13">
        <f>+E30+E33+E36</f>
        <v>1755000</v>
      </c>
      <c r="F29" s="13">
        <f>+F30+F33+F36</f>
        <v>1755000</v>
      </c>
    </row>
    <row r="30" spans="1:6" ht="24.95" customHeight="1" outlineLevel="2" x14ac:dyDescent="0.25">
      <c r="A30" s="28">
        <v>2</v>
      </c>
      <c r="B30" s="28"/>
      <c r="C30" s="20" t="s">
        <v>49</v>
      </c>
      <c r="D30" s="19">
        <f>+SUM(D31:D32)</f>
        <v>0</v>
      </c>
      <c r="E30" s="19">
        <f>+SUM(E31:E32)</f>
        <v>1455000</v>
      </c>
      <c r="F30" s="19">
        <f>+SUM(F31:F32)</f>
        <v>1455000</v>
      </c>
    </row>
    <row r="31" spans="1:6" ht="24.95" customHeight="1" outlineLevel="3" x14ac:dyDescent="0.25">
      <c r="A31" s="12">
        <v>2</v>
      </c>
      <c r="B31" s="12" t="s">
        <v>10</v>
      </c>
      <c r="C31" s="11" t="s">
        <v>48</v>
      </c>
      <c r="D31" s="10">
        <v>0</v>
      </c>
      <c r="E31" s="10">
        <v>1445000</v>
      </c>
      <c r="F31" s="10">
        <f>E31+D31</f>
        <v>1445000</v>
      </c>
    </row>
    <row r="32" spans="1:6" ht="24.95" customHeight="1" outlineLevel="3" x14ac:dyDescent="0.25">
      <c r="A32" s="12">
        <v>2</v>
      </c>
      <c r="B32" s="12" t="s">
        <v>10</v>
      </c>
      <c r="C32" s="11" t="s">
        <v>47</v>
      </c>
      <c r="D32" s="10">
        <v>0</v>
      </c>
      <c r="E32" s="10">
        <v>10000</v>
      </c>
      <c r="F32" s="10">
        <f>E32+D32</f>
        <v>10000</v>
      </c>
    </row>
    <row r="33" spans="1:6" ht="24.95" customHeight="1" outlineLevel="2" x14ac:dyDescent="0.25">
      <c r="A33" s="28">
        <v>2</v>
      </c>
      <c r="B33" s="28"/>
      <c r="C33" s="20" t="s">
        <v>46</v>
      </c>
      <c r="D33" s="19">
        <f>+SUM(D34:D35)</f>
        <v>0</v>
      </c>
      <c r="E33" s="19">
        <f>+SUM(E34:E35)</f>
        <v>250000</v>
      </c>
      <c r="F33" s="19">
        <f>+SUM(F34:F35)</f>
        <v>250000</v>
      </c>
    </row>
    <row r="34" spans="1:6" ht="24.95" customHeight="1" outlineLevel="3" x14ac:dyDescent="0.25">
      <c r="A34" s="12">
        <v>2</v>
      </c>
      <c r="B34" s="12" t="s">
        <v>10</v>
      </c>
      <c r="C34" s="11" t="s">
        <v>45</v>
      </c>
      <c r="D34" s="10">
        <v>0</v>
      </c>
      <c r="E34" s="10">
        <v>220000</v>
      </c>
      <c r="F34" s="10">
        <f>E34+D34</f>
        <v>220000</v>
      </c>
    </row>
    <row r="35" spans="1:6" ht="24.95" customHeight="1" outlineLevel="3" x14ac:dyDescent="0.25">
      <c r="A35" s="12">
        <v>2</v>
      </c>
      <c r="B35" s="12" t="s">
        <v>41</v>
      </c>
      <c r="C35" s="11" t="s">
        <v>44</v>
      </c>
      <c r="D35" s="10">
        <v>0</v>
      </c>
      <c r="E35" s="10">
        <v>30000</v>
      </c>
      <c r="F35" s="10">
        <f>E35+D35</f>
        <v>30000</v>
      </c>
    </row>
    <row r="36" spans="1:6" ht="24.95" customHeight="1" outlineLevel="2" x14ac:dyDescent="0.25">
      <c r="A36" s="28">
        <v>2</v>
      </c>
      <c r="B36" s="28"/>
      <c r="C36" s="20" t="s">
        <v>43</v>
      </c>
      <c r="D36" s="19">
        <f>+SUM(D37:D38)</f>
        <v>0</v>
      </c>
      <c r="E36" s="19">
        <f>+SUM(E37:E38)</f>
        <v>50000</v>
      </c>
      <c r="F36" s="19">
        <f>+SUM(F37:F38)</f>
        <v>50000</v>
      </c>
    </row>
    <row r="37" spans="1:6" ht="24.95" customHeight="1" outlineLevel="3" x14ac:dyDescent="0.25">
      <c r="A37" s="12">
        <v>2</v>
      </c>
      <c r="B37" s="12" t="s">
        <v>10</v>
      </c>
      <c r="C37" s="11" t="s">
        <v>42</v>
      </c>
      <c r="D37" s="10">
        <v>0</v>
      </c>
      <c r="E37" s="10">
        <v>35000</v>
      </c>
      <c r="F37" s="10">
        <f>E37+D37</f>
        <v>35000</v>
      </c>
    </row>
    <row r="38" spans="1:6" ht="24.95" customHeight="1" outlineLevel="3" x14ac:dyDescent="0.25">
      <c r="A38" s="12">
        <v>2</v>
      </c>
      <c r="B38" s="12" t="s">
        <v>41</v>
      </c>
      <c r="C38" s="11" t="s">
        <v>40</v>
      </c>
      <c r="D38" s="10">
        <v>0</v>
      </c>
      <c r="E38" s="10">
        <v>15000</v>
      </c>
      <c r="F38" s="10">
        <f>E38+D38</f>
        <v>15000</v>
      </c>
    </row>
    <row r="39" spans="1:6" ht="24.95" customHeight="1" outlineLevel="1" x14ac:dyDescent="0.25">
      <c r="A39" s="27">
        <v>2</v>
      </c>
      <c r="B39" s="27"/>
      <c r="C39" s="14" t="s">
        <v>39</v>
      </c>
      <c r="D39" s="13">
        <f>D40</f>
        <v>0</v>
      </c>
      <c r="E39" s="13">
        <f>E40</f>
        <v>270000</v>
      </c>
      <c r="F39" s="13">
        <f>E39+D39</f>
        <v>270000</v>
      </c>
    </row>
    <row r="40" spans="1:6" ht="24.95" customHeight="1" outlineLevel="2" x14ac:dyDescent="0.25">
      <c r="A40" s="22">
        <v>2</v>
      </c>
      <c r="B40" s="22"/>
      <c r="C40" s="20" t="s">
        <v>38</v>
      </c>
      <c r="D40" s="19">
        <f>SUM(D41:D44)</f>
        <v>0</v>
      </c>
      <c r="E40" s="19">
        <f>SUM(E41:E44)</f>
        <v>270000</v>
      </c>
      <c r="F40" s="19">
        <f>SUM(F41:F44)</f>
        <v>270000</v>
      </c>
    </row>
    <row r="41" spans="1:6" ht="24.95" customHeight="1" outlineLevel="3" x14ac:dyDescent="0.25">
      <c r="A41" s="12">
        <v>2</v>
      </c>
      <c r="B41" s="12" t="s">
        <v>10</v>
      </c>
      <c r="C41" s="11" t="s">
        <v>37</v>
      </c>
      <c r="D41" s="10">
        <v>0</v>
      </c>
      <c r="E41" s="10">
        <v>180000</v>
      </c>
      <c r="F41" s="10">
        <f>E41+D41</f>
        <v>180000</v>
      </c>
    </row>
    <row r="42" spans="1:6" ht="24.95" customHeight="1" outlineLevel="3" x14ac:dyDescent="0.25">
      <c r="A42" s="12">
        <v>2</v>
      </c>
      <c r="B42" s="12" t="s">
        <v>10</v>
      </c>
      <c r="C42" s="11" t="s">
        <v>36</v>
      </c>
      <c r="D42" s="10">
        <v>0</v>
      </c>
      <c r="E42" s="10">
        <v>20000</v>
      </c>
      <c r="F42" s="10">
        <f>E42+D42</f>
        <v>20000</v>
      </c>
    </row>
    <row r="43" spans="1:6" ht="24.95" customHeight="1" outlineLevel="3" x14ac:dyDescent="0.25">
      <c r="A43" s="12">
        <v>2</v>
      </c>
      <c r="B43" s="12" t="s">
        <v>10</v>
      </c>
      <c r="C43" s="11" t="s">
        <v>35</v>
      </c>
      <c r="D43" s="10">
        <v>0</v>
      </c>
      <c r="E43" s="10">
        <v>20000</v>
      </c>
      <c r="F43" s="10">
        <f>E43+D43</f>
        <v>20000</v>
      </c>
    </row>
    <row r="44" spans="1:6" ht="24.95" customHeight="1" outlineLevel="3" x14ac:dyDescent="0.25">
      <c r="A44" s="12">
        <v>2</v>
      </c>
      <c r="B44" s="12" t="s">
        <v>10</v>
      </c>
      <c r="C44" s="11" t="s">
        <v>34</v>
      </c>
      <c r="D44" s="10">
        <v>0</v>
      </c>
      <c r="E44" s="10">
        <v>50000</v>
      </c>
      <c r="F44" s="10">
        <f>E44+D44</f>
        <v>50000</v>
      </c>
    </row>
    <row r="45" spans="1:6" ht="24.95" customHeight="1" outlineLevel="1" x14ac:dyDescent="0.25">
      <c r="A45" s="27">
        <v>2</v>
      </c>
      <c r="B45" s="27"/>
      <c r="C45" s="14" t="s">
        <v>33</v>
      </c>
      <c r="D45" s="13">
        <f>D46+D53</f>
        <v>0</v>
      </c>
      <c r="E45" s="13">
        <f>E46+E53</f>
        <v>4000000</v>
      </c>
      <c r="F45" s="13">
        <f>F46+F53</f>
        <v>4000000</v>
      </c>
    </row>
    <row r="46" spans="1:6" ht="24.95" customHeight="1" outlineLevel="2" x14ac:dyDescent="0.25">
      <c r="A46" s="24">
        <v>2</v>
      </c>
      <c r="B46" s="24"/>
      <c r="C46" s="20" t="s">
        <v>32</v>
      </c>
      <c r="D46" s="19">
        <f>+D47+D48</f>
        <v>0</v>
      </c>
      <c r="E46" s="19">
        <f>+E47+E48</f>
        <v>3299384</v>
      </c>
      <c r="F46" s="19">
        <f>+F47+F48</f>
        <v>3299384</v>
      </c>
    </row>
    <row r="47" spans="1:6" ht="24.95" customHeight="1" outlineLevel="3" x14ac:dyDescent="0.25">
      <c r="A47" s="12">
        <v>2</v>
      </c>
      <c r="B47" s="12" t="s">
        <v>10</v>
      </c>
      <c r="C47" s="11" t="s">
        <v>31</v>
      </c>
      <c r="D47" s="10">
        <v>0</v>
      </c>
      <c r="E47" s="10">
        <v>509710</v>
      </c>
      <c r="F47" s="10">
        <f t="shared" ref="F47:F52" si="0">+D47+E47</f>
        <v>509710</v>
      </c>
    </row>
    <row r="48" spans="1:6" ht="24.95" customHeight="1" outlineLevel="3" x14ac:dyDescent="0.25">
      <c r="A48" s="12">
        <v>2</v>
      </c>
      <c r="B48" s="12" t="s">
        <v>30</v>
      </c>
      <c r="C48" s="26" t="s">
        <v>29</v>
      </c>
      <c r="D48" s="25">
        <v>0</v>
      </c>
      <c r="E48" s="25">
        <f>+SUM(E49:E52)</f>
        <v>2789674</v>
      </c>
      <c r="F48" s="25">
        <f t="shared" si="0"/>
        <v>2789674</v>
      </c>
    </row>
    <row r="49" spans="1:6" ht="24.95" customHeight="1" outlineLevel="3" x14ac:dyDescent="0.25">
      <c r="A49" s="12"/>
      <c r="B49" s="12"/>
      <c r="C49" s="11" t="s">
        <v>28</v>
      </c>
      <c r="D49" s="10">
        <v>0</v>
      </c>
      <c r="E49" s="10">
        <v>1990416</v>
      </c>
      <c r="F49" s="10">
        <f t="shared" si="0"/>
        <v>1990416</v>
      </c>
    </row>
    <row r="50" spans="1:6" ht="24.95" customHeight="1" outlineLevel="3" x14ac:dyDescent="0.25">
      <c r="A50" s="12"/>
      <c r="B50" s="12"/>
      <c r="C50" s="11" t="s">
        <v>27</v>
      </c>
      <c r="D50" s="10">
        <v>0</v>
      </c>
      <c r="E50" s="10">
        <v>193120</v>
      </c>
      <c r="F50" s="10">
        <f t="shared" si="0"/>
        <v>193120</v>
      </c>
    </row>
    <row r="51" spans="1:6" ht="24.95" customHeight="1" outlineLevel="3" x14ac:dyDescent="0.25">
      <c r="A51" s="12"/>
      <c r="B51" s="12"/>
      <c r="C51" s="11" t="s">
        <v>26</v>
      </c>
      <c r="D51" s="10">
        <v>0</v>
      </c>
      <c r="E51" s="10">
        <v>434219</v>
      </c>
      <c r="F51" s="10">
        <f t="shared" si="0"/>
        <v>434219</v>
      </c>
    </row>
    <row r="52" spans="1:6" ht="24.95" customHeight="1" outlineLevel="3" x14ac:dyDescent="0.25">
      <c r="A52" s="12"/>
      <c r="B52" s="12"/>
      <c r="C52" s="11" t="s">
        <v>25</v>
      </c>
      <c r="D52" s="10">
        <v>0</v>
      </c>
      <c r="E52" s="10">
        <v>171919</v>
      </c>
      <c r="F52" s="10">
        <f t="shared" si="0"/>
        <v>171919</v>
      </c>
    </row>
    <row r="53" spans="1:6" ht="24.95" customHeight="1" outlineLevel="2" x14ac:dyDescent="0.25">
      <c r="A53" s="24">
        <v>2</v>
      </c>
      <c r="B53" s="24"/>
      <c r="C53" s="20" t="s">
        <v>24</v>
      </c>
      <c r="D53" s="19">
        <f>+SUM(D54:D56)</f>
        <v>0</v>
      </c>
      <c r="E53" s="19">
        <f>+SUM(E54:E56)</f>
        <v>700616</v>
      </c>
      <c r="F53" s="19">
        <f>+SUM(F54:F56)</f>
        <v>700616</v>
      </c>
    </row>
    <row r="54" spans="1:6" ht="24.95" customHeight="1" outlineLevel="3" x14ac:dyDescent="0.25">
      <c r="A54" s="12">
        <v>2</v>
      </c>
      <c r="B54" s="12" t="s">
        <v>10</v>
      </c>
      <c r="C54" s="11" t="s">
        <v>23</v>
      </c>
      <c r="D54" s="10">
        <v>0</v>
      </c>
      <c r="E54" s="10">
        <v>25000</v>
      </c>
      <c r="F54" s="10">
        <f t="shared" ref="F54:F59" si="1">E54+D54</f>
        <v>25000</v>
      </c>
    </row>
    <row r="55" spans="1:6" ht="24.95" customHeight="1" outlineLevel="3" x14ac:dyDescent="0.25">
      <c r="A55" s="12">
        <v>2</v>
      </c>
      <c r="B55" s="12" t="s">
        <v>10</v>
      </c>
      <c r="C55" s="11" t="s">
        <v>22</v>
      </c>
      <c r="D55" s="10">
        <v>0</v>
      </c>
      <c r="E55" s="10">
        <v>636164</v>
      </c>
      <c r="F55" s="10">
        <f t="shared" si="1"/>
        <v>636164</v>
      </c>
    </row>
    <row r="56" spans="1:6" ht="24.95" customHeight="1" outlineLevel="3" x14ac:dyDescent="0.25">
      <c r="A56" s="12">
        <v>2</v>
      </c>
      <c r="B56" s="12" t="s">
        <v>10</v>
      </c>
      <c r="C56" s="11" t="s">
        <v>21</v>
      </c>
      <c r="D56" s="10">
        <v>0</v>
      </c>
      <c r="E56" s="10">
        <v>39452</v>
      </c>
      <c r="F56" s="10">
        <f t="shared" si="1"/>
        <v>39452</v>
      </c>
    </row>
    <row r="57" spans="1:6" ht="24.95" customHeight="1" x14ac:dyDescent="0.25">
      <c r="A57" s="18">
        <v>3</v>
      </c>
      <c r="B57" s="17"/>
      <c r="C57" s="16" t="s">
        <v>20</v>
      </c>
      <c r="D57" s="23">
        <f>D58</f>
        <v>0</v>
      </c>
      <c r="E57" s="23">
        <f>E58</f>
        <v>0</v>
      </c>
      <c r="F57" s="23">
        <f t="shared" si="1"/>
        <v>0</v>
      </c>
    </row>
    <row r="58" spans="1:6" ht="24.95" customHeight="1" outlineLevel="1" x14ac:dyDescent="0.25">
      <c r="A58" s="22">
        <v>3</v>
      </c>
      <c r="B58" s="22"/>
      <c r="C58" s="14" t="s">
        <v>19</v>
      </c>
      <c r="D58" s="21">
        <f>D59</f>
        <v>0</v>
      </c>
      <c r="E58" s="21">
        <f>E59</f>
        <v>0</v>
      </c>
      <c r="F58" s="21">
        <f t="shared" si="1"/>
        <v>0</v>
      </c>
    </row>
    <row r="59" spans="1:6" ht="24.95" customHeight="1" outlineLevel="2" x14ac:dyDescent="0.25">
      <c r="A59" s="12">
        <v>3</v>
      </c>
      <c r="B59" s="12"/>
      <c r="C59" s="20" t="s">
        <v>18</v>
      </c>
      <c r="D59" s="19">
        <v>0</v>
      </c>
      <c r="E59" s="19">
        <v>0</v>
      </c>
      <c r="F59" s="19">
        <f t="shared" si="1"/>
        <v>0</v>
      </c>
    </row>
    <row r="60" spans="1:6" ht="24.95" customHeight="1" x14ac:dyDescent="0.25">
      <c r="A60" s="18">
        <v>4</v>
      </c>
      <c r="B60" s="17"/>
      <c r="C60" s="16" t="s">
        <v>17</v>
      </c>
      <c r="D60" s="15">
        <f>D61</f>
        <v>5150000</v>
      </c>
      <c r="E60" s="15">
        <f>E61</f>
        <v>6085000</v>
      </c>
      <c r="F60" s="15">
        <f>F61</f>
        <v>11235000</v>
      </c>
    </row>
    <row r="61" spans="1:6" ht="24.95" customHeight="1" outlineLevel="1" x14ac:dyDescent="0.25">
      <c r="A61" s="12"/>
      <c r="B61" s="12"/>
      <c r="C61" s="14" t="s">
        <v>16</v>
      </c>
      <c r="D61" s="13">
        <f>+SUM(D62:D69)</f>
        <v>5150000</v>
      </c>
      <c r="E61" s="13">
        <f>+SUM(E62:E69)</f>
        <v>6085000</v>
      </c>
      <c r="F61" s="13">
        <f>+SUM(F62:F69)</f>
        <v>11235000</v>
      </c>
    </row>
    <row r="62" spans="1:6" ht="24.95" customHeight="1" outlineLevel="2" x14ac:dyDescent="0.25">
      <c r="A62" s="12">
        <v>4</v>
      </c>
      <c r="B62" s="12" t="s">
        <v>15</v>
      </c>
      <c r="C62" s="11" t="s">
        <v>14</v>
      </c>
      <c r="D62" s="10">
        <f>3000000+250000</f>
        <v>3250000</v>
      </c>
      <c r="E62" s="10">
        <f>2000000-250000</f>
        <v>1750000</v>
      </c>
      <c r="F62" s="10">
        <f t="shared" ref="F62:F69" si="2">+D62+E62</f>
        <v>5000000</v>
      </c>
    </row>
    <row r="63" spans="1:6" ht="24.95" customHeight="1" outlineLevel="2" x14ac:dyDescent="0.25">
      <c r="A63" s="12">
        <v>4</v>
      </c>
      <c r="B63" s="12" t="s">
        <v>12</v>
      </c>
      <c r="C63" s="11" t="s">
        <v>13</v>
      </c>
      <c r="D63" s="10">
        <v>260000</v>
      </c>
      <c r="E63" s="10">
        <v>1800000</v>
      </c>
      <c r="F63" s="10">
        <f t="shared" si="2"/>
        <v>2060000</v>
      </c>
    </row>
    <row r="64" spans="1:6" ht="24.95" customHeight="1" outlineLevel="2" x14ac:dyDescent="0.25">
      <c r="A64" s="12">
        <v>4</v>
      </c>
      <c r="B64" s="12" t="s">
        <v>12</v>
      </c>
      <c r="C64" s="11" t="s">
        <v>11</v>
      </c>
      <c r="D64" s="10">
        <v>100000</v>
      </c>
      <c r="E64" s="10">
        <v>100000</v>
      </c>
      <c r="F64" s="10">
        <f t="shared" si="2"/>
        <v>200000</v>
      </c>
    </row>
    <row r="65" spans="1:6" ht="24.95" customHeight="1" outlineLevel="2" x14ac:dyDescent="0.25">
      <c r="A65" s="12">
        <v>4</v>
      </c>
      <c r="B65" s="12" t="s">
        <v>10</v>
      </c>
      <c r="C65" s="11" t="s">
        <v>9</v>
      </c>
      <c r="D65" s="10">
        <v>400000</v>
      </c>
      <c r="E65" s="10">
        <v>0</v>
      </c>
      <c r="F65" s="10">
        <f t="shared" si="2"/>
        <v>400000</v>
      </c>
    </row>
    <row r="66" spans="1:6" ht="24.95" customHeight="1" outlineLevel="2" x14ac:dyDescent="0.25">
      <c r="A66" s="12">
        <v>4</v>
      </c>
      <c r="B66" s="12" t="s">
        <v>8</v>
      </c>
      <c r="C66" s="11" t="s">
        <v>7</v>
      </c>
      <c r="D66" s="10">
        <v>200000</v>
      </c>
      <c r="E66" s="10">
        <v>420000</v>
      </c>
      <c r="F66" s="10">
        <f t="shared" si="2"/>
        <v>620000</v>
      </c>
    </row>
    <row r="67" spans="1:6" ht="24.95" customHeight="1" outlineLevel="2" x14ac:dyDescent="0.25">
      <c r="A67" s="12">
        <v>4</v>
      </c>
      <c r="B67" s="12" t="s">
        <v>5</v>
      </c>
      <c r="C67" s="11" t="s">
        <v>6</v>
      </c>
      <c r="D67" s="10">
        <v>940000</v>
      </c>
      <c r="E67" s="10">
        <v>1501750</v>
      </c>
      <c r="F67" s="10">
        <f t="shared" si="2"/>
        <v>2441750</v>
      </c>
    </row>
    <row r="68" spans="1:6" ht="24.95" customHeight="1" outlineLevel="2" x14ac:dyDescent="0.25">
      <c r="A68" s="12">
        <v>4</v>
      </c>
      <c r="B68" s="12" t="s">
        <v>5</v>
      </c>
      <c r="C68" s="11" t="s">
        <v>4</v>
      </c>
      <c r="D68" s="10">
        <v>0</v>
      </c>
      <c r="E68" s="10">
        <v>200000</v>
      </c>
      <c r="F68" s="10">
        <f t="shared" si="2"/>
        <v>200000</v>
      </c>
    </row>
    <row r="69" spans="1:6" ht="24.95" customHeight="1" outlineLevel="2" x14ac:dyDescent="0.25">
      <c r="A69" s="12"/>
      <c r="B69" s="12"/>
      <c r="C69" s="11" t="s">
        <v>3</v>
      </c>
      <c r="D69" s="10">
        <v>0</v>
      </c>
      <c r="E69" s="10">
        <v>313250</v>
      </c>
      <c r="F69" s="10">
        <f t="shared" si="2"/>
        <v>313250</v>
      </c>
    </row>
    <row r="70" spans="1:6" ht="24.95" customHeight="1" x14ac:dyDescent="0.25">
      <c r="A70" s="9"/>
      <c r="B70" s="9"/>
      <c r="C70" s="8" t="s">
        <v>2</v>
      </c>
      <c r="D70" s="7">
        <f>D3+D28+D57+D60</f>
        <v>104190000</v>
      </c>
      <c r="E70" s="7">
        <f>E3+E28+E57+E60</f>
        <v>21110000</v>
      </c>
      <c r="F70" s="7">
        <f>E70+D70</f>
        <v>125300000</v>
      </c>
    </row>
    <row r="71" spans="1:6" ht="15" customHeight="1" x14ac:dyDescent="0.25">
      <c r="C71" s="2" t="s">
        <v>1</v>
      </c>
      <c r="D71" s="6">
        <f>D70/$F$70</f>
        <v>0.83152434158020749</v>
      </c>
      <c r="E71" s="6">
        <f>E70/$F$70</f>
        <v>0.16847565841979251</v>
      </c>
      <c r="F71" s="6">
        <f>F70/$F$70</f>
        <v>1</v>
      </c>
    </row>
    <row r="72" spans="1:6" ht="14.25" x14ac:dyDescent="0.25">
      <c r="C72" s="2" t="s">
        <v>0</v>
      </c>
      <c r="D72" s="6">
        <f>D70/(D70+E70)</f>
        <v>0.83152434158020749</v>
      </c>
      <c r="E72" s="6">
        <f>E70/(D70+E70)</f>
        <v>0.16847565841979251</v>
      </c>
    </row>
    <row r="73" spans="1:6" x14ac:dyDescent="0.25">
      <c r="D73" s="5"/>
      <c r="E73" s="3"/>
    </row>
    <row r="74" spans="1:6" x14ac:dyDescent="0.25">
      <c r="D74" s="4"/>
      <c r="E74" s="3"/>
    </row>
    <row r="75" spans="1:6" x14ac:dyDescent="0.25">
      <c r="E75" s="3"/>
    </row>
    <row r="76" spans="1:6" x14ac:dyDescent="0.25">
      <c r="E76" s="3"/>
    </row>
    <row r="77" spans="1:6" x14ac:dyDescent="0.25">
      <c r="E77" s="3"/>
    </row>
    <row r="78" spans="1:6" x14ac:dyDescent="0.25">
      <c r="E78" s="3"/>
    </row>
    <row r="79" spans="1:6" x14ac:dyDescent="0.25">
      <c r="E79" s="3"/>
    </row>
    <row r="80" spans="1:6" x14ac:dyDescent="0.25">
      <c r="E80" s="3"/>
    </row>
    <row r="81" spans="5:5" x14ac:dyDescent="0.25">
      <c r="E81" s="3"/>
    </row>
    <row r="82" spans="5:5" x14ac:dyDescent="0.25">
      <c r="E82" s="3"/>
    </row>
    <row r="83" spans="5:5" x14ac:dyDescent="0.25">
      <c r="E83" s="3"/>
    </row>
    <row r="84" spans="5:5" x14ac:dyDescent="0.25">
      <c r="E84" s="3"/>
    </row>
    <row r="85" spans="5:5" x14ac:dyDescent="0.25">
      <c r="E85" s="3"/>
    </row>
    <row r="86" spans="5:5" x14ac:dyDescent="0.25">
      <c r="E86" s="3"/>
    </row>
    <row r="87" spans="5:5" x14ac:dyDescent="0.25">
      <c r="E87" s="3"/>
    </row>
    <row r="88" spans="5:5" x14ac:dyDescent="0.25">
      <c r="E88" s="3"/>
    </row>
    <row r="89" spans="5:5" x14ac:dyDescent="0.25">
      <c r="E89" s="3"/>
    </row>
    <row r="90" spans="5:5" x14ac:dyDescent="0.25">
      <c r="E90" s="3"/>
    </row>
    <row r="91" spans="5:5" x14ac:dyDescent="0.25">
      <c r="E91" s="3"/>
    </row>
    <row r="92" spans="5:5" x14ac:dyDescent="0.25">
      <c r="E92" s="3"/>
    </row>
    <row r="93" spans="5:5" x14ac:dyDescent="0.25">
      <c r="E93" s="3"/>
    </row>
    <row r="94" spans="5:5" x14ac:dyDescent="0.25">
      <c r="E94" s="3"/>
    </row>
    <row r="95" spans="5:5" x14ac:dyDescent="0.25">
      <c r="E95" s="3"/>
    </row>
    <row r="96" spans="5:5" x14ac:dyDescent="0.25">
      <c r="E96" s="3"/>
    </row>
  </sheetData>
  <autoFilter ref="C2:F72" xr:uid="{00000000-0001-0000-0100-000000000000}"/>
  <pageMargins left="0.70866141732283472" right="0.70866141732283472" top="0.74803149606299213" bottom="0.74803149606299213" header="0.31496062992125984" footer="0.31496062992125984"/>
  <pageSetup paperSize="9" scale="91" orientation="landscape" verticalDpi="1200" r:id="rId1"/>
  <rowBreaks count="1" manualBreakCount="1">
    <brk id="48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BM NUEVO</vt:lpstr>
      <vt:lpstr>'BM NUEVO'!Área_de_impresión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CMOP</dc:creator>
  <cp:lastModifiedBy>CMOP</cp:lastModifiedBy>
  <dcterms:created xsi:type="dcterms:W3CDTF">2026-05-25T14:16:59Z</dcterms:created>
  <dcterms:modified xsi:type="dcterms:W3CDTF">2026-10-02T14:14:21Z</dcterms:modified>
</cp:coreProperties>
</file>